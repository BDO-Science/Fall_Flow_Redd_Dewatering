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66925"/>
  <mc:AlternateContent xmlns:mc="http://schemas.openxmlformats.org/markup-compatibility/2006">
    <mc:Choice Requires="x15">
      <x15ac:absPath xmlns:x15ac="http://schemas.microsoft.com/office/spreadsheetml/2010/11/ac" url="https://doimspp-my.sharepoint.com/personal/lelliott_usbr_gov/Documents/Documents/GitHub/BDO-Science/Fall_Flow_Redd_Dewatering/input_data/flow_scen/"/>
    </mc:Choice>
  </mc:AlternateContent>
  <xr:revisionPtr revIDLastSave="0" documentId="8_{E7DFD7F7-14B9-49AC-881D-4D1AA1487E0F}" xr6:coauthVersionLast="47" xr6:coauthVersionMax="47" xr10:uidLastSave="{00000000-0000-0000-0000-000000000000}"/>
  <bookViews>
    <workbookView xWindow="-108" yWindow="-108" windowWidth="23256" windowHeight="12456" tabRatio="876" xr2:uid="{8B6B0201-DD1B-4D0A-8FA2-1793C828B1EC}"/>
  </bookViews>
  <sheets>
    <sheet name="Keswick Flow Alternatives" sheetId="3" r:id="rId1"/>
    <sheet name="Desired Scenarios" sheetId="14" r:id="rId2"/>
    <sheet name="Scenario Description" sheetId="7" r:id="rId3"/>
    <sheet name="Keswick Flow Chart thru Dec" sheetId="12" r:id="rId4"/>
    <sheet name="Ramping Rates and Base Flow" sheetId="9"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33" i="3" l="1"/>
  <c r="E233" i="3"/>
  <c r="F233" i="3"/>
  <c r="G233" i="3"/>
  <c r="J233" i="3"/>
  <c r="K233" i="3"/>
  <c r="L233" i="3"/>
  <c r="M233" i="3"/>
  <c r="N233" i="3"/>
  <c r="C233" i="3"/>
  <c r="I218" i="3"/>
  <c r="I226" i="3" s="1"/>
  <c r="I219" i="3"/>
  <c r="I227" i="3" s="1"/>
  <c r="I220" i="3"/>
  <c r="I228" i="3" s="1"/>
  <c r="I221" i="3"/>
  <c r="I229" i="3" s="1"/>
  <c r="I222" i="3"/>
  <c r="I230" i="3" s="1"/>
  <c r="I223" i="3"/>
  <c r="I231" i="3" s="1"/>
  <c r="I233" i="3" l="1"/>
  <c r="I232" i="3"/>
  <c r="H218" i="3" l="1"/>
  <c r="H226" i="3" s="1"/>
  <c r="H219" i="3"/>
  <c r="H227" i="3" s="1"/>
  <c r="H220" i="3"/>
  <c r="H228" i="3" s="1"/>
  <c r="H221" i="3"/>
  <c r="H229" i="3" s="1"/>
  <c r="H222" i="3"/>
  <c r="H230" i="3" s="1"/>
  <c r="H223" i="3"/>
  <c r="H231" i="3" s="1"/>
  <c r="B217" i="3"/>
  <c r="B225" i="3" s="1"/>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C218" i="3"/>
  <c r="C226" i="3" s="1"/>
  <c r="D218" i="3"/>
  <c r="D226" i="3" s="1"/>
  <c r="C219" i="3"/>
  <c r="C227" i="3" s="1"/>
  <c r="D219" i="3"/>
  <c r="D227" i="3" s="1"/>
  <c r="C220" i="3"/>
  <c r="C228" i="3" s="1"/>
  <c r="D220" i="3"/>
  <c r="D228" i="3" s="1"/>
  <c r="C221" i="3"/>
  <c r="C229" i="3" s="1"/>
  <c r="D221" i="3"/>
  <c r="D229" i="3" s="1"/>
  <c r="C222" i="3"/>
  <c r="C230" i="3" s="1"/>
  <c r="D222" i="3"/>
  <c r="D230" i="3" s="1"/>
  <c r="C223" i="3"/>
  <c r="C231" i="3" s="1"/>
  <c r="D223" i="3"/>
  <c r="D231" i="3" s="1"/>
  <c r="M218" i="3"/>
  <c r="M226" i="3" s="1"/>
  <c r="M232" i="3" s="1"/>
  <c r="N218" i="3"/>
  <c r="N226" i="3" s="1"/>
  <c r="N232" i="3" s="1"/>
  <c r="N219" i="3"/>
  <c r="N227" i="3" s="1"/>
  <c r="M220" i="3"/>
  <c r="M228" i="3" s="1"/>
  <c r="M222" i="3"/>
  <c r="M230" i="3" s="1"/>
  <c r="N222" i="3"/>
  <c r="N230" i="3" s="1"/>
  <c r="M223" i="3"/>
  <c r="M231" i="3" s="1"/>
  <c r="N223" i="3"/>
  <c r="N231" i="3" s="1"/>
  <c r="H233" i="3" l="1"/>
  <c r="H232" i="3"/>
  <c r="D232" i="3"/>
  <c r="C232" i="3"/>
  <c r="M221" i="3"/>
  <c r="M229" i="3" s="1"/>
  <c r="N221" i="3"/>
  <c r="N229" i="3" s="1"/>
  <c r="N220" i="3"/>
  <c r="N228" i="3" s="1"/>
  <c r="M219" i="3"/>
  <c r="M227" i="3" s="1"/>
  <c r="P34" i="3" l="1"/>
  <c r="J218" i="3" l="1"/>
  <c r="J226" i="3" s="1"/>
  <c r="J232" i="3" s="1"/>
  <c r="L218" i="3"/>
  <c r="L226" i="3" s="1"/>
  <c r="L232" i="3" s="1"/>
  <c r="K218" i="3"/>
  <c r="K226" i="3" s="1"/>
  <c r="K232" i="3" s="1"/>
  <c r="G219" i="3"/>
  <c r="G227" i="3" s="1"/>
  <c r="J219" i="3"/>
  <c r="J227" i="3" s="1"/>
  <c r="L219" i="3"/>
  <c r="L227" i="3" s="1"/>
  <c r="K219" i="3"/>
  <c r="K227" i="3" s="1"/>
  <c r="G220" i="3"/>
  <c r="G228" i="3" s="1"/>
  <c r="J220" i="3"/>
  <c r="J228" i="3" s="1"/>
  <c r="L220" i="3"/>
  <c r="L228" i="3" s="1"/>
  <c r="K220" i="3"/>
  <c r="K228" i="3" s="1"/>
  <c r="G221" i="3"/>
  <c r="G229" i="3" s="1"/>
  <c r="J221" i="3"/>
  <c r="J229" i="3" s="1"/>
  <c r="L221" i="3"/>
  <c r="L229" i="3" s="1"/>
  <c r="K221" i="3"/>
  <c r="K229" i="3" s="1"/>
  <c r="G222" i="3"/>
  <c r="G230" i="3" s="1"/>
  <c r="J222" i="3"/>
  <c r="J230" i="3" s="1"/>
  <c r="L222" i="3"/>
  <c r="L230" i="3" s="1"/>
  <c r="K222" i="3"/>
  <c r="K230" i="3" s="1"/>
  <c r="G223" i="3"/>
  <c r="G231" i="3" s="1"/>
  <c r="J223" i="3"/>
  <c r="J231" i="3" s="1"/>
  <c r="L223" i="3"/>
  <c r="L231" i="3" s="1"/>
  <c r="K223" i="3"/>
  <c r="K231" i="3" s="1"/>
  <c r="F223" i="3" l="1"/>
  <c r="F231" i="3" s="1"/>
  <c r="E222" i="3"/>
  <c r="E230" i="3" s="1"/>
  <c r="F221" i="3"/>
  <c r="F229" i="3" s="1"/>
  <c r="F222" i="3"/>
  <c r="F230" i="3" s="1"/>
  <c r="E223" i="3"/>
  <c r="E231" i="3" s="1"/>
  <c r="F219" i="3"/>
  <c r="F227" i="3" s="1"/>
  <c r="E219" i="3"/>
  <c r="E227" i="3" s="1"/>
  <c r="E220" i="3"/>
  <c r="E228" i="3" s="1"/>
  <c r="E221" i="3"/>
  <c r="E229" i="3" s="1"/>
  <c r="G218" i="3" l="1"/>
  <c r="G226" i="3" s="1"/>
  <c r="F220" i="3"/>
  <c r="F228" i="3" s="1"/>
  <c r="G232" i="3" l="1"/>
  <c r="E218" i="3"/>
  <c r="E226" i="3" s="1"/>
  <c r="E232" i="3" s="1"/>
  <c r="F218" i="3"/>
  <c r="F226" i="3" s="1"/>
  <c r="F232" i="3" s="1"/>
  <c r="P33" i="3"/>
  <c r="P35" i="3"/>
  <c r="P36" i="3" l="1"/>
  <c r="P32" i="3"/>
  <c r="P31" i="3" l="1"/>
  <c r="P37" i="3"/>
  <c r="P38" i="3" l="1"/>
  <c r="P30" i="3"/>
  <c r="P29" i="3" l="1"/>
  <c r="P39" i="3"/>
  <c r="P40" i="3" l="1"/>
  <c r="P28" i="3"/>
  <c r="P27" i="3" l="1"/>
  <c r="P41" i="3"/>
  <c r="P42" i="3" l="1"/>
  <c r="P26" i="3"/>
  <c r="P25" i="3" l="1"/>
  <c r="P43" i="3"/>
  <c r="P44" i="3" l="1"/>
  <c r="P24" i="3"/>
  <c r="P23" i="3" l="1"/>
  <c r="P45" i="3"/>
  <c r="P46" i="3" l="1"/>
  <c r="P22" i="3"/>
  <c r="P47" i="3" l="1"/>
  <c r="P21" i="3"/>
  <c r="P48" i="3" l="1"/>
  <c r="P20" i="3"/>
  <c r="P49" i="3" l="1"/>
  <c r="P19" i="3"/>
  <c r="P50" i="3" l="1"/>
  <c r="P18" i="3"/>
  <c r="P17" i="3" l="1"/>
  <c r="P51" i="3"/>
  <c r="P52" i="3" l="1"/>
  <c r="P16" i="3"/>
  <c r="P15" i="3" l="1"/>
  <c r="P53" i="3"/>
  <c r="P54" i="3" l="1"/>
  <c r="P14" i="3"/>
  <c r="P13" i="3" l="1"/>
  <c r="P55" i="3"/>
  <c r="P12" i="3" l="1"/>
  <c r="P56" i="3"/>
  <c r="P57" i="3" l="1"/>
  <c r="P11" i="3"/>
  <c r="P10" i="3" l="1"/>
  <c r="P58" i="3"/>
  <c r="P59" i="3" l="1"/>
  <c r="P9" i="3"/>
  <c r="P8" i="3" l="1"/>
  <c r="P60" i="3"/>
  <c r="P61" i="3" l="1"/>
  <c r="P7" i="3"/>
  <c r="P6" i="3" l="1"/>
  <c r="P62" i="3"/>
  <c r="P63" i="3" l="1"/>
  <c r="P5" i="3"/>
  <c r="P4" i="3" l="1"/>
  <c r="P64" i="3"/>
  <c r="P65" i="3" l="1"/>
  <c r="P3" i="3"/>
  <c r="P66" i="3" l="1"/>
  <c r="P67" i="3" l="1"/>
  <c r="P68" i="3" l="1"/>
  <c r="P69" i="3" l="1"/>
  <c r="P70" i="3" l="1"/>
  <c r="P71" i="3" l="1"/>
  <c r="P72" i="3" l="1"/>
  <c r="P73" i="3" l="1"/>
  <c r="P74" i="3" l="1"/>
  <c r="P75" i="3" l="1"/>
  <c r="P76" i="3" l="1"/>
  <c r="P77" i="3" l="1"/>
  <c r="P78" i="3" l="1"/>
  <c r="P79" i="3" l="1"/>
  <c r="P80" i="3" l="1"/>
  <c r="P81" i="3" l="1"/>
  <c r="P82" i="3" l="1"/>
  <c r="P83" i="3" l="1"/>
  <c r="P84" i="3" l="1"/>
  <c r="P85" i="3" l="1"/>
  <c r="P86" i="3" l="1"/>
  <c r="P87" i="3" l="1"/>
  <c r="P88" i="3" l="1"/>
  <c r="P89" i="3" l="1"/>
  <c r="P90" i="3" l="1"/>
  <c r="P91" i="3" l="1"/>
  <c r="P92" i="3" l="1"/>
  <c r="P93" i="3" l="1"/>
  <c r="P94" i="3" l="1"/>
  <c r="P95" i="3" l="1"/>
  <c r="P96" i="3" l="1"/>
  <c r="P97" i="3" l="1"/>
  <c r="P98" i="3" l="1"/>
  <c r="P99" i="3" l="1"/>
  <c r="P100" i="3" l="1"/>
  <c r="P101" i="3" l="1"/>
  <c r="P102" i="3" l="1"/>
  <c r="P103" i="3" l="1"/>
  <c r="P104" i="3" l="1"/>
  <c r="P105" i="3" l="1"/>
  <c r="P106" i="3" l="1"/>
  <c r="P107" i="3" l="1"/>
  <c r="P108" i="3" l="1"/>
  <c r="P109" i="3" l="1"/>
  <c r="P110" i="3" l="1"/>
  <c r="P111" i="3" l="1"/>
  <c r="P112" i="3" l="1"/>
  <c r="P113" i="3" l="1"/>
  <c r="P114" i="3" l="1"/>
  <c r="P115" i="3" l="1"/>
  <c r="P116" i="3" l="1"/>
  <c r="P117" i="3" l="1"/>
  <c r="P118" i="3" l="1"/>
  <c r="P119" i="3" l="1"/>
  <c r="P120" i="3" l="1"/>
  <c r="P121" i="3" l="1"/>
  <c r="P122" i="3" l="1"/>
  <c r="P123" i="3" l="1"/>
  <c r="P124" i="3" l="1"/>
  <c r="P125" i="3" l="1"/>
  <c r="P126" i="3" l="1"/>
  <c r="P127" i="3" l="1"/>
  <c r="P128" i="3" l="1"/>
  <c r="P129" i="3" l="1"/>
  <c r="P130" i="3" l="1"/>
  <c r="P131" i="3" l="1"/>
  <c r="P132" i="3" l="1"/>
  <c r="P133" i="3" l="1"/>
  <c r="P134" i="3" l="1"/>
  <c r="P135" i="3" l="1"/>
  <c r="P136" i="3" l="1"/>
  <c r="P137" i="3" l="1"/>
  <c r="P138" i="3" l="1"/>
  <c r="P139" i="3" l="1"/>
  <c r="P140" i="3" l="1"/>
  <c r="P141" i="3" l="1"/>
  <c r="P142" i="3" l="1"/>
  <c r="P143" i="3" l="1"/>
  <c r="P144" i="3" l="1"/>
  <c r="P145" i="3" l="1"/>
  <c r="P146" i="3" l="1"/>
  <c r="P147" i="3" l="1"/>
  <c r="P148" i="3" l="1"/>
  <c r="P149" i="3" l="1"/>
  <c r="P150" i="3" l="1"/>
  <c r="P151" i="3" l="1"/>
  <c r="P152" i="3" l="1"/>
  <c r="P153" i="3" l="1"/>
  <c r="P154" i="3" l="1"/>
  <c r="P155" i="3" l="1"/>
  <c r="P156" i="3" l="1"/>
  <c r="P157" i="3" l="1"/>
  <c r="P158" i="3" l="1"/>
  <c r="P159" i="3" l="1"/>
  <c r="P160" i="3" l="1"/>
  <c r="P161" i="3" l="1"/>
  <c r="P162" i="3" l="1"/>
  <c r="P163" i="3" l="1"/>
  <c r="P164" i="3" l="1"/>
  <c r="P165" i="3" l="1"/>
  <c r="P166" i="3" l="1"/>
  <c r="P167" i="3" l="1"/>
  <c r="P168" i="3" l="1"/>
  <c r="P169" i="3" l="1"/>
  <c r="P170" i="3" l="1"/>
  <c r="P171" i="3" l="1"/>
  <c r="P172" i="3" l="1"/>
  <c r="P173" i="3" l="1"/>
  <c r="P174" i="3" l="1"/>
  <c r="P175" i="3" l="1"/>
  <c r="P176" i="3" l="1"/>
  <c r="P177" i="3" l="1"/>
  <c r="P178" i="3" l="1"/>
  <c r="P179" i="3" l="1"/>
  <c r="P180" i="3" l="1"/>
  <c r="P181" i="3" l="1"/>
  <c r="P182" i="3" l="1"/>
  <c r="P183" i="3" l="1"/>
  <c r="P184" i="3" l="1"/>
  <c r="P185" i="3" l="1"/>
  <c r="P186" i="3" l="1"/>
  <c r="P187" i="3" l="1"/>
  <c r="P188" i="3" l="1"/>
  <c r="P189" i="3" l="1"/>
  <c r="P190" i="3" l="1"/>
  <c r="P191" i="3" l="1"/>
  <c r="P192" i="3" l="1"/>
  <c r="P193" i="3" l="1"/>
  <c r="P194" i="3" l="1"/>
  <c r="P195" i="3" l="1"/>
  <c r="P196" i="3" l="1"/>
  <c r="P197" i="3" l="1"/>
  <c r="P198" i="3" l="1"/>
  <c r="P199" i="3" l="1"/>
  <c r="P200" i="3" l="1"/>
  <c r="P201" i="3" l="1"/>
  <c r="P202" i="3" l="1"/>
  <c r="P203" i="3" l="1"/>
  <c r="P204" i="3" l="1"/>
  <c r="P205" i="3" l="1"/>
  <c r="P206" i="3" l="1"/>
  <c r="P207" i="3" l="1"/>
  <c r="P208" i="3" l="1"/>
  <c r="P209" i="3" l="1"/>
  <c r="P210" i="3" l="1"/>
  <c r="P211" i="3" l="1"/>
  <c r="P212" i="3" l="1"/>
  <c r="P213" i="3" l="1"/>
  <c r="P214" i="3" l="1"/>
</calcChain>
</file>

<file path=xl/sharedStrings.xml><?xml version="1.0" encoding="utf-8"?>
<sst xmlns="http://schemas.openxmlformats.org/spreadsheetml/2006/main" count="75" uniqueCount="61">
  <si>
    <t>Keswick Flows in cfs</t>
  </si>
  <si>
    <t>Date</t>
  </si>
  <si>
    <t>Actual</t>
  </si>
  <si>
    <t>Timeline</t>
  </si>
  <si>
    <t>Aug FLOW AVERAGE</t>
  </si>
  <si>
    <t>SEPT FLOW AVERAGE</t>
  </si>
  <si>
    <t>OCT FLOW AVERAGE</t>
  </si>
  <si>
    <t>NOV FLOW AVERAGE</t>
  </si>
  <si>
    <t>DEC FLOW AVERAGE</t>
  </si>
  <si>
    <t>JAN FLOW AVERAGE</t>
  </si>
  <si>
    <t>FEB FLOW AVERAGE</t>
  </si>
  <si>
    <t>Total August Volume</t>
  </si>
  <si>
    <t>Total September Volume</t>
  </si>
  <si>
    <t>Total October Volume</t>
  </si>
  <si>
    <t>Total November Volume</t>
  </si>
  <si>
    <t>Total December Volume</t>
  </si>
  <si>
    <t>Total January Volume</t>
  </si>
  <si>
    <t>Total February Volume</t>
  </si>
  <si>
    <t>end of September Shasta storage</t>
  </si>
  <si>
    <t>end of October Shasta storage</t>
  </si>
  <si>
    <t>end of November Shasta Storage</t>
  </si>
  <si>
    <t>end of December Shasta Storage</t>
  </si>
  <si>
    <t>Scenario</t>
  </si>
  <si>
    <t>Use</t>
  </si>
  <si>
    <t>Y</t>
  </si>
  <si>
    <t>Keswick ramping rates</t>
  </si>
  <si>
    <t>Keswick releases &gt; 6,000 cfs, reductions in releases may not exceed 15% per night, and no more than 2.5% per hour.</t>
  </si>
  <si>
    <t xml:space="preserve">Keswick releases 4,000 cfs to 5,999 cfs reductions in releases may not exceed 200 cfs per night, or 100 cfs per hour. </t>
  </si>
  <si>
    <t xml:space="preserve">Keswick releases between 3,250 cfs and 3,999 cfs; reductions in releases may not exceed 100 cfs per night. </t>
  </si>
  <si>
    <t>High storage years are not necessarily correlated with a following wetter fall and winter. As a result, Reclamation will manage the real time releases based on conditions observed. In scenarios were higher storage exist at the end of September but the fall hydrology is dry (generally defined as below 90% exceedance of historical hydrology), Reclamation will coordinate with appropriate agencies, including NMFS and CDFW at a minimum, to reduce flows below those described in the table, if possible.</t>
  </si>
  <si>
    <t>This approach to selecting fall, winter, and spring minimum flows allows Reclamation to build and conserve storage for supporting cold water management and summer demands. Due to the effort to build storage, this often results in flood control releases well over the minimum flows, typically in the December through May periods. The low flow in the fall and winter period directly increases the likelihood and magnitude of the flood control releases in the winter and spring months.</t>
  </si>
  <si>
    <t>Base Flows</t>
  </si>
  <si>
    <t xml:space="preserve">Suggested guidance for proposing new scenarios: </t>
  </si>
  <si>
    <r>
      <t>·</t>
    </r>
    <r>
      <rPr>
        <sz val="7"/>
        <color theme="1"/>
        <rFont val="Times New Roman"/>
        <family val="1"/>
      </rPr>
      <t xml:space="preserve">       </t>
    </r>
    <r>
      <rPr>
        <sz val="11"/>
        <color theme="1"/>
        <rFont val="Times New Roman"/>
        <family val="1"/>
      </rPr>
      <t>KES flow all – sheet has all scenarios considered throughout the season</t>
    </r>
  </si>
  <si>
    <r>
      <t>·</t>
    </r>
    <r>
      <rPr>
        <sz val="7"/>
        <color theme="1"/>
        <rFont val="Times New Roman"/>
        <family val="1"/>
      </rPr>
      <t xml:space="preserve">       </t>
    </r>
    <r>
      <rPr>
        <sz val="11"/>
        <color theme="1"/>
        <rFont val="Times New Roman"/>
        <family val="1"/>
      </rPr>
      <t>KES flow Preferred – has scenarios that are under consideration.</t>
    </r>
  </si>
  <si>
    <t>Alternatives</t>
  </si>
  <si>
    <r>
      <t>·</t>
    </r>
    <r>
      <rPr>
        <sz val="7"/>
        <color theme="1"/>
        <rFont val="Times New Roman"/>
        <family val="1"/>
      </rPr>
      <t xml:space="preserve">       </t>
    </r>
    <r>
      <rPr>
        <sz val="11"/>
        <color theme="1"/>
        <rFont val="Times New Roman"/>
        <family val="1"/>
      </rPr>
      <t>Common themes should have the same letter</t>
    </r>
  </si>
  <si>
    <r>
      <t>·</t>
    </r>
    <r>
      <rPr>
        <sz val="7"/>
        <color theme="1"/>
        <rFont val="Times New Roman"/>
        <family val="1"/>
      </rPr>
      <t xml:space="preserve">       </t>
    </r>
    <r>
      <rPr>
        <sz val="11"/>
        <color theme="1"/>
        <rFont val="Times New Roman"/>
        <family val="1"/>
      </rPr>
      <t>As scenarios get tweaked add a different number to the scenario.</t>
    </r>
  </si>
  <si>
    <t>A1</t>
  </si>
  <si>
    <t>B1</t>
  </si>
  <si>
    <t>A2</t>
  </si>
  <si>
    <t>* place ':' in between scenario name and description.</t>
  </si>
  <si>
    <t>A3</t>
  </si>
  <si>
    <t>&gt;</t>
  </si>
  <si>
    <t>&lt;=</t>
  </si>
  <si>
    <t>Shasta End-of-September Storage (maf)</t>
  </si>
  <si>
    <t>Keswick Release (cfs)</t>
  </si>
  <si>
    <t>2026 Fall Flows Scenario Notes</t>
  </si>
  <si>
    <t>A1: Scenario using August  90% Exceedance Forecast. Does not use ramping rate criteria.</t>
  </si>
  <si>
    <t>B1: Scenario using August  50% Exceedance Forecast. Does not use ramping rate criteria.</t>
  </si>
  <si>
    <t>A2: Scenario using August 90% exceedance forecast with reduced October flows. Does not follow ramping rate criteria.</t>
  </si>
  <si>
    <t>A3: Scenario using August 90% exceedance forecast with reduced October flows and elevated November flows. Does not follow ramping rate criteria.</t>
  </si>
  <si>
    <t>Total Sept Feb Volume</t>
  </si>
  <si>
    <t>C1</t>
  </si>
  <si>
    <t>N</t>
  </si>
  <si>
    <t>D1</t>
  </si>
  <si>
    <t>Total Sept to Nov Volume</t>
  </si>
  <si>
    <t>C1: Scenario developed by MBK for demand shift to extended settlement contractor water diversion season</t>
  </si>
  <si>
    <t>C2: Scenario developed by MBK for demand shift to extended settlement contractor water diversion season and updated based on actual early Sept flows</t>
  </si>
  <si>
    <t>D1: Scenario assuming no fall smoothing and maintaining decomp flows of 6500 cfs</t>
  </si>
  <si>
    <t>C2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</si>
</sst>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F800]dddd\,\ mmmm\ dd\,\ yyyy"/>
  </numFmts>
  <fonts count="25"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0"/>
      <name val="Arial"/>
      <family val="2"/>
    </font>
    <font>
      <u/>
      <sz val="10"/>
      <color indexed="12"/>
      <name val="Arial"/>
      <family val="2"/>
    </font>
    <font>
      <sz val="12"/>
      <name val="Arial"/>
      <family val="2"/>
    </font>
    <font>
      <sz val="11"/>
      <color theme="1"/>
      <name val="Times New Roman"/>
      <family val="1"/>
    </font>
    <font>
      <b/>
      <sz val="12"/>
      <color theme="1"/>
      <name val="Calibri"/>
      <family val="2"/>
      <scheme val="minor"/>
    </font>
    <font>
      <sz val="8"/>
      <name val="Calibri"/>
      <family val="2"/>
      <scheme val="minor"/>
    </font>
    <font>
      <i/>
      <sz val="11"/>
      <color theme="1"/>
      <name val="Calibri"/>
      <family val="2"/>
      <scheme val="minor"/>
    </font>
    <font>
      <sz val="28"/>
      <color theme="1"/>
      <name val="Calibri Light"/>
      <family val="2"/>
    </font>
    <font>
      <sz val="12"/>
      <color rgb="FF000000"/>
      <name val="Times New Roman"/>
      <family val="1"/>
    </font>
    <font>
      <sz val="11.5"/>
      <color rgb="FF242424"/>
      <name val="Times New Roman"/>
      <family val="1"/>
    </font>
    <font>
      <u/>
      <sz val="11"/>
      <color theme="1"/>
      <name val="Times New Roman"/>
      <family val="1"/>
    </font>
    <font>
      <sz val="10"/>
      <color theme="1"/>
      <name val="Symbol"/>
      <family val="1"/>
      <charset val="2"/>
    </font>
    <font>
      <sz val="7"/>
      <color theme="1"/>
      <name val="Times New Roman"/>
      <family val="1"/>
    </font>
    <font>
      <sz val="11"/>
      <name val="Times New Roman"/>
      <family val="1"/>
    </font>
    <font>
      <sz val="12"/>
      <name val="Times New Roman"/>
      <family val="1"/>
    </font>
    <font>
      <sz val="11"/>
      <color rgb="FF1A1A1A"/>
      <name val="Calibri"/>
      <family val="2"/>
      <scheme val="minor"/>
    </font>
    <font>
      <b/>
      <sz val="14"/>
      <name val="Times New Roman"/>
      <family val="1"/>
    </font>
    <font>
      <i/>
      <sz val="11"/>
      <color rgb="FFFF0000"/>
      <name val="Calibri"/>
      <family val="2"/>
      <scheme val="minor"/>
    </font>
    <font>
      <b/>
      <sz val="11"/>
      <name val="Calibri"/>
      <family val="2"/>
      <scheme val="minor"/>
    </font>
    <font>
      <sz val="14"/>
      <color theme="1"/>
      <name val="Calibri"/>
      <family val="2"/>
      <scheme val="minor"/>
    </font>
    <font>
      <sz val="11"/>
      <color rgb="FFFF0000"/>
      <name val="Calibri"/>
      <family val="2"/>
      <scheme val="minor"/>
    </font>
  </fonts>
  <fills count="2">
    <fill>
      <patternFill patternType="none"/>
    </fill>
    <fill>
      <patternFill patternType="gray125"/>
    </fill>
  </fills>
  <borders count="6">
    <border>
      <left/>
      <right/>
      <top/>
      <bottom/>
      <diagonal/>
    </border>
    <border>
      <left style="thin">
        <color indexed="64"/>
      </left>
      <right style="thin">
        <color indexed="64"/>
      </right>
      <top/>
      <bottom style="thin">
        <color indexed="64"/>
      </bottom>
      <diagonal/>
    </border>
    <border>
      <left/>
      <right/>
      <top/>
      <bottom style="thin">
        <color auto="1"/>
      </bottom>
      <diagonal/>
    </border>
    <border>
      <left/>
      <right/>
      <top style="thin">
        <color auto="1"/>
      </top>
      <bottom/>
      <diagonal/>
    </border>
    <border>
      <left style="thin">
        <color auto="1"/>
      </left>
      <right style="thin">
        <color auto="1"/>
      </right>
      <top/>
      <bottom/>
      <diagonal/>
    </border>
    <border>
      <left/>
      <right/>
      <top style="double">
        <color auto="1"/>
      </top>
      <bottom/>
      <diagonal/>
    </border>
  </borders>
  <cellStyleXfs count="126">
    <xf numFmtId="0" fontId="0" fillId="0" borderId="0"/>
    <xf numFmtId="0" fontId="3"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4"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4" fillId="0" borderId="0"/>
    <xf numFmtId="0" fontId="5" fillId="0" borderId="0" applyNumberFormat="0" applyFill="0" applyBorder="0" applyAlignment="0" applyProtection="0">
      <alignment vertical="top"/>
      <protection locked="0"/>
    </xf>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cellStyleXfs>
  <cellXfs count="53">
    <xf numFmtId="0" fontId="0" fillId="0" borderId="0" xfId="0"/>
    <xf numFmtId="3" fontId="0" fillId="0" borderId="0" xfId="0" applyNumberFormat="1" applyAlignment="1">
      <alignment horizontal="center"/>
    </xf>
    <xf numFmtId="0" fontId="7" fillId="0" borderId="0" xfId="0" applyFont="1" applyAlignment="1">
      <alignment vertical="center"/>
    </xf>
    <xf numFmtId="0" fontId="0" fillId="0" borderId="0" xfId="0" applyAlignment="1">
      <alignment horizontal="left" vertical="center" indent="1"/>
    </xf>
    <xf numFmtId="0" fontId="12" fillId="0" borderId="0" xfId="0" applyFont="1" applyAlignment="1">
      <alignment horizontal="left" vertical="center" indent="1"/>
    </xf>
    <xf numFmtId="0" fontId="12" fillId="0" borderId="0" xfId="0" applyFont="1" applyAlignment="1">
      <alignment horizontal="left" vertical="center" indent="5"/>
    </xf>
    <xf numFmtId="0" fontId="13" fillId="0" borderId="0" xfId="0" applyFont="1" applyAlignment="1">
      <alignment horizontal="left" vertical="center" indent="5"/>
    </xf>
    <xf numFmtId="0" fontId="11" fillId="0" borderId="0" xfId="0" applyFont="1" applyAlignment="1">
      <alignment vertical="center"/>
    </xf>
    <xf numFmtId="0" fontId="14" fillId="0" borderId="0" xfId="0" applyFont="1" applyAlignment="1">
      <alignment vertical="center"/>
    </xf>
    <xf numFmtId="0" fontId="15" fillId="0" borderId="0" xfId="0" applyFont="1" applyAlignment="1">
      <alignment horizontal="left" vertical="center" indent="4"/>
    </xf>
    <xf numFmtId="0" fontId="0" fillId="0" borderId="0" xfId="0" applyAlignment="1">
      <alignment horizontal="center"/>
    </xf>
    <xf numFmtId="0" fontId="2" fillId="0" borderId="0" xfId="0" applyFont="1" applyAlignment="1">
      <alignment horizontal="left" vertical="center" indent="1"/>
    </xf>
    <xf numFmtId="14" fontId="2" fillId="0" borderId="0" xfId="0" applyNumberFormat="1" applyFont="1"/>
    <xf numFmtId="0" fontId="2" fillId="0" borderId="0" xfId="0" applyFont="1" applyAlignment="1">
      <alignment horizontal="center"/>
    </xf>
    <xf numFmtId="3" fontId="0" fillId="0" borderId="0" xfId="0" applyNumberFormat="1"/>
    <xf numFmtId="3" fontId="2" fillId="0" borderId="0" xfId="0" applyNumberFormat="1" applyFont="1" applyAlignment="1">
      <alignment horizontal="center"/>
    </xf>
    <xf numFmtId="0" fontId="8" fillId="0" borderId="0" xfId="0" applyFont="1"/>
    <xf numFmtId="0" fontId="8" fillId="0" borderId="4" xfId="0" applyFont="1" applyBorder="1"/>
    <xf numFmtId="0" fontId="2" fillId="0" borderId="0" xfId="0" applyFont="1"/>
    <xf numFmtId="0" fontId="10" fillId="0" borderId="4" xfId="0" applyFont="1" applyBorder="1" applyAlignment="1">
      <alignment horizontal="center"/>
    </xf>
    <xf numFmtId="0" fontId="0" fillId="0" borderId="2" xfId="0" applyBorder="1" applyAlignment="1">
      <alignment horizontal="center"/>
    </xf>
    <xf numFmtId="14" fontId="0" fillId="0" borderId="0" xfId="0" applyNumberFormat="1"/>
    <xf numFmtId="3" fontId="0" fillId="0" borderId="3" xfId="0" applyNumberFormat="1" applyBorder="1" applyAlignment="1">
      <alignment horizontal="center"/>
    </xf>
    <xf numFmtId="3" fontId="0" fillId="0" borderId="2" xfId="0" applyNumberFormat="1" applyBorder="1" applyAlignment="1">
      <alignment horizontal="center"/>
    </xf>
    <xf numFmtId="14" fontId="2" fillId="0" borderId="3" xfId="0" applyNumberFormat="1" applyFont="1" applyBorder="1"/>
    <xf numFmtId="3" fontId="2" fillId="0" borderId="3" xfId="0" applyNumberFormat="1" applyFont="1" applyBorder="1" applyAlignment="1">
      <alignment horizontal="center"/>
    </xf>
    <xf numFmtId="164" fontId="0" fillId="0" borderId="0" xfId="0" applyNumberFormat="1"/>
    <xf numFmtId="0" fontId="10" fillId="0" borderId="0" xfId="0" applyFont="1" applyAlignment="1">
      <alignment horizontal="center"/>
    </xf>
    <xf numFmtId="0" fontId="0" fillId="0" borderId="0" xfId="0" applyAlignment="1">
      <alignment vertical="center"/>
    </xf>
    <xf numFmtId="0" fontId="17" fillId="0" borderId="0" xfId="0" applyFont="1" applyAlignment="1">
      <alignment vertical="center"/>
    </xf>
    <xf numFmtId="0" fontId="12" fillId="0" borderId="0" xfId="0" applyFont="1" applyAlignment="1">
      <alignment vertical="center"/>
    </xf>
    <xf numFmtId="0" fontId="18"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2" fillId="0" borderId="4" xfId="0" applyFont="1" applyBorder="1" applyAlignment="1">
      <alignment horizontal="center"/>
    </xf>
    <xf numFmtId="1" fontId="0" fillId="0" borderId="0" xfId="0" applyNumberFormat="1" applyAlignment="1">
      <alignment horizontal="center"/>
    </xf>
    <xf numFmtId="0" fontId="0" fillId="0" borderId="3" xfId="0" applyBorder="1" applyAlignment="1">
      <alignment horizontal="center"/>
    </xf>
    <xf numFmtId="0" fontId="10" fillId="0" borderId="1" xfId="0" applyFont="1" applyBorder="1" applyAlignment="1">
      <alignment horizontal="center"/>
    </xf>
    <xf numFmtId="0" fontId="21" fillId="0" borderId="4" xfId="0" applyFont="1" applyBorder="1" applyAlignment="1">
      <alignment horizontal="center"/>
    </xf>
    <xf numFmtId="0" fontId="22" fillId="0" borderId="4" xfId="0" applyFont="1" applyBorder="1" applyAlignment="1">
      <alignment horizontal="center"/>
    </xf>
    <xf numFmtId="0" fontId="12" fillId="0" borderId="0" xfId="0" quotePrefix="1" applyFont="1" applyAlignment="1">
      <alignment horizontal="left" vertical="center" indent="1"/>
    </xf>
    <xf numFmtId="0" fontId="12" fillId="0" borderId="0" xfId="0" quotePrefix="1" applyFont="1" applyAlignment="1">
      <alignment horizontal="left" vertical="center"/>
    </xf>
    <xf numFmtId="1" fontId="2" fillId="0" borderId="0" xfId="0" applyNumberFormat="1" applyFont="1" applyAlignment="1">
      <alignment horizontal="center"/>
    </xf>
    <xf numFmtId="0" fontId="22" fillId="0" borderId="0" xfId="0" applyFont="1" applyAlignment="1">
      <alignment horizontal="center"/>
    </xf>
    <xf numFmtId="164" fontId="0" fillId="0" borderId="2" xfId="0" applyNumberFormat="1" applyBorder="1"/>
    <xf numFmtId="0" fontId="0" fillId="0" borderId="2" xfId="0" applyBorder="1"/>
    <xf numFmtId="0" fontId="22" fillId="0" borderId="1" xfId="0" applyFont="1" applyBorder="1" applyAlignment="1">
      <alignment horizontal="center"/>
    </xf>
    <xf numFmtId="0" fontId="23" fillId="0" borderId="0" xfId="0" applyFont="1"/>
    <xf numFmtId="0" fontId="23" fillId="0" borderId="0" xfId="0" applyFont="1" applyAlignment="1">
      <alignment horizontal="center"/>
    </xf>
    <xf numFmtId="14" fontId="2" fillId="0" borderId="5" xfId="0" applyNumberFormat="1" applyFont="1" applyBorder="1"/>
    <xf numFmtId="0" fontId="0" fillId="0" borderId="5" xfId="0" applyBorder="1"/>
    <xf numFmtId="3" fontId="2" fillId="0" borderId="5" xfId="0" applyNumberFormat="1" applyFont="1" applyBorder="1" applyAlignment="1">
      <alignment horizontal="center"/>
    </xf>
    <xf numFmtId="0" fontId="24" fillId="0" borderId="0" xfId="0" applyFont="1" applyAlignment="1">
      <alignment horizontal="center"/>
    </xf>
  </cellXfs>
  <cellStyles count="126">
    <cellStyle name="Comma 10" xfId="86" xr:uid="{18F22F41-CF6B-4170-A614-400F6543E9A0}"/>
    <cellStyle name="Comma 11" xfId="101" xr:uid="{974079B9-BE1C-4991-B628-F072576DE078}"/>
    <cellStyle name="Comma 12" xfId="114" xr:uid="{C28BD660-8EED-4E80-A932-37DEAF1ABBF4}"/>
    <cellStyle name="Comma 2" xfId="35" xr:uid="{95C77358-64DF-4CCE-A103-AF3C9BDFE0EB}"/>
    <cellStyle name="Comma 3" xfId="37" xr:uid="{D8D9EC9D-5241-4303-81CA-3FA81AC629CE}"/>
    <cellStyle name="Comma 4" xfId="39" xr:uid="{FF2F2708-07E8-490F-86F3-D3FB1FBE9E25}"/>
    <cellStyle name="Comma 5" xfId="42" xr:uid="{E0C20D1B-0185-4538-A587-F0C80B8AB013}"/>
    <cellStyle name="Comma 6" xfId="47" xr:uid="{D2CC7322-A832-47C7-8024-DD203B066FA1}"/>
    <cellStyle name="Comma 6 2" xfId="66" xr:uid="{5487D10C-F96B-4CBD-8B80-C0F22F709809}"/>
    <cellStyle name="Comma 6 3" xfId="79" xr:uid="{A2EFE379-B1FD-40ED-BE45-0D3684461FED}"/>
    <cellStyle name="Comma 6 4" xfId="92" xr:uid="{0C86129F-E53C-4D02-8334-56A3704E1F73}"/>
    <cellStyle name="Comma 6 5" xfId="107" xr:uid="{7A0D0BB4-2EC1-4756-A925-BE82DA6B93F3}"/>
    <cellStyle name="Comma 6 6" xfId="120" xr:uid="{B4DE2D0B-4E79-4D9A-9EED-04AECA66BCF3}"/>
    <cellStyle name="Comma 7" xfId="52" xr:uid="{F0FF4ABD-45D5-4C43-B97F-94AC0E7852B7}"/>
    <cellStyle name="Comma 8" xfId="60" xr:uid="{CEE40618-1C0E-47B3-98CE-F47E242AA470}"/>
    <cellStyle name="Comma 9" xfId="73" xr:uid="{48F05D9D-E271-4BB2-AE26-35629DC8E3D7}"/>
    <cellStyle name="Hyperlink 2" xfId="99" xr:uid="{2E9551BA-17D2-4801-AC9F-3B76E31E6505}"/>
    <cellStyle name="Normal" xfId="0" builtinId="0"/>
    <cellStyle name="Normal 10" xfId="10" xr:uid="{3256AEAF-939A-4C62-8A02-548E1348D74D}"/>
    <cellStyle name="Normal 10 10" xfId="22" xr:uid="{B4CB33E4-BBBB-4EFE-A831-DC9C5B0CC551}"/>
    <cellStyle name="Normal 10 11" xfId="23" xr:uid="{5CDA33D0-A073-4D26-9102-1F99697866E5}"/>
    <cellStyle name="Normal 10 11 2" xfId="24" xr:uid="{16FD22D0-8ABA-4695-A5D8-191138CB7165}"/>
    <cellStyle name="Normal 10 11 3" xfId="25" xr:uid="{03E48195-E72C-44AA-9654-8C74A420E9ED}"/>
    <cellStyle name="Normal 10 11 4" xfId="27" xr:uid="{5C13DB12-E291-498B-8A59-C9D2D9820F07}"/>
    <cellStyle name="Normal 10 11 5" xfId="29" xr:uid="{DF71DA76-F5B0-46A3-B8FE-0C1D923B53F7}"/>
    <cellStyle name="Normal 10 11 6" xfId="30" xr:uid="{A629882C-7251-47F1-8FD8-78D437CF174C}"/>
    <cellStyle name="Normal 10 12" xfId="26" xr:uid="{83EF6B66-D794-4FF2-B7A5-3C77428596BE}"/>
    <cellStyle name="Normal 10 2" xfId="12" xr:uid="{57CB0799-D389-4EAC-8D17-1C384898B282}"/>
    <cellStyle name="Normal 10 3" xfId="13" xr:uid="{587D04D8-0096-4AD7-B237-9294C96E06FD}"/>
    <cellStyle name="Normal 10 4" xfId="14" xr:uid="{529175B3-2F21-4B24-A200-EF5D05D419A5}"/>
    <cellStyle name="Normal 10 5" xfId="15" xr:uid="{5CEB629A-5F74-4234-A383-3F97C448662F}"/>
    <cellStyle name="Normal 10 6" xfId="16" xr:uid="{F80E8DB9-CCD0-49D1-B4C6-D78583DD03C8}"/>
    <cellStyle name="Normal 10 7" xfId="17" xr:uid="{8143FA14-6B5A-42AF-AA40-86C27B096F96}"/>
    <cellStyle name="Normal 10 8" xfId="18" xr:uid="{25F2B7A9-7C04-4437-BE5A-82876AB4B9E9}"/>
    <cellStyle name="Normal 10 9" xfId="19" xr:uid="{1A0AAD05-DA34-4DCA-9D0F-DE02AC6AADA3}"/>
    <cellStyle name="Normal 10 9 2" xfId="20" xr:uid="{8F07450B-1FEB-4422-A665-16CA6F5F58AF}"/>
    <cellStyle name="Normal 10 9 3" xfId="21" xr:uid="{F3E8FD95-4B85-4D8B-A03A-F7A955C53AB4}"/>
    <cellStyle name="Normal 11" xfId="11" xr:uid="{35661F78-1EE9-4995-8377-544E27A1CA35}"/>
    <cellStyle name="Normal 12" xfId="28" xr:uid="{9A406A03-C3E1-457C-A82F-18E90B5D97D9}"/>
    <cellStyle name="Normal 13" xfId="31" xr:uid="{CF1A20BA-D2C0-4E7B-8C92-E14CB2638B2E}"/>
    <cellStyle name="Normal 14" xfId="32" xr:uid="{AAEBE35D-7AB3-4F02-A3A7-EF4A003906D0}"/>
    <cellStyle name="Normal 14 2" xfId="40" xr:uid="{2F091E5E-0C7F-4537-8EFA-CA8025175F7F}"/>
    <cellStyle name="Normal 14 2 2" xfId="71" xr:uid="{0765B54E-C71C-4A34-8CCC-E56E512C7218}"/>
    <cellStyle name="Normal 14 2 3" xfId="84" xr:uid="{FD7B4221-72FD-446A-8A33-9D02869CD7FD}"/>
    <cellStyle name="Normal 14 2 4" xfId="97" xr:uid="{A80A40D6-B345-43A5-8A84-DA2F1F52361D}"/>
    <cellStyle name="Normal 14 2 5" xfId="112" xr:uid="{CDD666F4-2D31-4AEA-A8C2-1F7BCB83A6EE}"/>
    <cellStyle name="Normal 14 2 6" xfId="125" xr:uid="{27662CF7-CBCC-4E8D-90AF-43353CCA1167}"/>
    <cellStyle name="Normal 14 3" xfId="46" xr:uid="{E87E1DEF-F85E-4616-A305-FA51697B8DDA}"/>
    <cellStyle name="Normal 14 3 2" xfId="65" xr:uid="{8D152235-125F-4E1F-9D34-2BC5F7C53828}"/>
    <cellStyle name="Normal 14 3 3" xfId="78" xr:uid="{49359D06-5047-4BEB-8084-9453D2F8BB29}"/>
    <cellStyle name="Normal 14 3 4" xfId="91" xr:uid="{9F06AC19-3C42-465B-9950-FABD36F84647}"/>
    <cellStyle name="Normal 14 3 5" xfId="106" xr:uid="{301E9529-E1B2-431C-A896-E43DFA3E131E}"/>
    <cellStyle name="Normal 14 3 6" xfId="119" xr:uid="{66DC3F98-A6EF-4D09-B21E-E1DAC5DEB781}"/>
    <cellStyle name="Normal 14 4" xfId="53" xr:uid="{F9664825-A736-49E6-989A-6A3881B1320E}"/>
    <cellStyle name="Normal 14 4 2" xfId="69" xr:uid="{25876118-EE11-46E6-9EE0-86A5F3C8FC96}"/>
    <cellStyle name="Normal 14 4 3" xfId="82" xr:uid="{B4C27A78-DCA0-4C06-B7D3-BDAD36609456}"/>
    <cellStyle name="Normal 14 4 4" xfId="95" xr:uid="{FC43CE49-9BBD-4B16-98CD-453D7BC30BA5}"/>
    <cellStyle name="Normal 14 4 5" xfId="110" xr:uid="{3DB2ACB5-8A30-47E8-B2D0-4E4A1FB54388}"/>
    <cellStyle name="Normal 14 4 6" xfId="123" xr:uid="{D1468D9D-DADB-41BB-A8AD-615DF3C0F6C3}"/>
    <cellStyle name="Normal 14 5" xfId="61" xr:uid="{7CF4BD24-6E40-45B7-809A-D178AB3535FF}"/>
    <cellStyle name="Normal 14 6" xfId="74" xr:uid="{366B7075-BC59-4F53-B950-7BB969415A70}"/>
    <cellStyle name="Normal 14 7" xfId="87" xr:uid="{DCEE626D-96F5-4C82-BAF2-EF6BED94A84C}"/>
    <cellStyle name="Normal 14 8" xfId="102" xr:uid="{22C6D222-3550-459E-ADC9-9E7F657C0328}"/>
    <cellStyle name="Normal 14 9" xfId="115" xr:uid="{AFB65DB8-A23B-42D1-B428-F406BC27824D}"/>
    <cellStyle name="Normal 15" xfId="33" xr:uid="{6C7DD9E0-8C15-4CD6-9F3A-01A2230E88B2}"/>
    <cellStyle name="Normal 16" xfId="34" xr:uid="{5A6AFDA9-EB2E-47CB-91D1-14EFEDA0FE9D}"/>
    <cellStyle name="Normal 16 2" xfId="44" xr:uid="{9406121F-A0FE-4E88-BB67-0C467374E99B}"/>
    <cellStyle name="Normal 16 3" xfId="49" xr:uid="{0259DD8F-80E5-4409-8B2A-2D94B0B13F51}"/>
    <cellStyle name="Normal 16 3 2" xfId="68" xr:uid="{37140249-A84E-4573-A990-FC174C5BB5C7}"/>
    <cellStyle name="Normal 16 3 3" xfId="81" xr:uid="{60429019-3D87-48F8-80EE-E98BD927D634}"/>
    <cellStyle name="Normal 16 3 4" xfId="94" xr:uid="{3E18F6FD-928E-4DA5-9E1C-FE934D11A7F0}"/>
    <cellStyle name="Normal 16 3 5" xfId="109" xr:uid="{DD4FBE71-3380-44C9-82F3-3360DBFA17D6}"/>
    <cellStyle name="Normal 16 3 6" xfId="122" xr:uid="{1FD1877F-C241-4EC3-B36D-C3914264ED4C}"/>
    <cellStyle name="Normal 16 4" xfId="55" xr:uid="{6A0CFF72-539B-4973-8A45-1C96D25A01A9}"/>
    <cellStyle name="Normal 16 5" xfId="63" xr:uid="{F8F21D7A-3F6D-4D9B-9947-2C15621A5F8A}"/>
    <cellStyle name="Normal 16 6" xfId="76" xr:uid="{D8AD5953-CDD6-41DC-91AD-81DEC015B33B}"/>
    <cellStyle name="Normal 16 7" xfId="89" xr:uid="{ED91F5A7-DC0D-43B5-8A5C-E46F12DE1B67}"/>
    <cellStyle name="Normal 16 8" xfId="104" xr:uid="{FA8ED42A-4BDF-4569-BB6C-27FC0FA25B98}"/>
    <cellStyle name="Normal 16 9" xfId="117" xr:uid="{810DB26A-68CC-43AB-8275-C48803E88E1F}"/>
    <cellStyle name="Normal 17" xfId="36" xr:uid="{EFA0911F-2F00-4C69-974A-22FE9748400D}"/>
    <cellStyle name="Normal 17 2" xfId="43" xr:uid="{DD4A1E4C-645A-463B-B1C4-D5A0C0DDAD0E}"/>
    <cellStyle name="Normal 17 3" xfId="48" xr:uid="{68C1F36A-1E4A-4F57-B429-9B9DE3E29B4E}"/>
    <cellStyle name="Normal 17 3 2" xfId="67" xr:uid="{889CF1A6-2696-476A-AF56-0BA0E0119FB6}"/>
    <cellStyle name="Normal 17 3 3" xfId="80" xr:uid="{2AA8909F-D5A9-4BA3-88E7-754ECD29E824}"/>
    <cellStyle name="Normal 17 3 4" xfId="93" xr:uid="{5D2783F2-F9AC-43F7-A0E3-32C62706CB3C}"/>
    <cellStyle name="Normal 17 3 5" xfId="108" xr:uid="{5279C5EC-F54C-44A2-8040-32D235FDBD24}"/>
    <cellStyle name="Normal 17 3 6" xfId="121" xr:uid="{D7A94D06-218C-4A4B-9D4B-263F2E92DD01}"/>
    <cellStyle name="Normal 17 4" xfId="54" xr:uid="{A41ADEC3-E316-4391-9252-9DA307D5951F}"/>
    <cellStyle name="Normal 17 5" xfId="62" xr:uid="{0AFBEAA4-F9DD-4B09-B443-3E6A0906D53B}"/>
    <cellStyle name="Normal 17 6" xfId="75" xr:uid="{5DCA4116-87A9-4404-AC49-93357D879E1D}"/>
    <cellStyle name="Normal 17 7" xfId="88" xr:uid="{DE58B269-A1C6-4C86-A7F1-29554435BAC6}"/>
    <cellStyle name="Normal 17 8" xfId="103" xr:uid="{DD821B66-2CB1-4B9A-BE26-4CCFEFCFD7FB}"/>
    <cellStyle name="Normal 17 9" xfId="116" xr:uid="{61716BAA-CAAD-4119-BF62-A6F979540BF9}"/>
    <cellStyle name="Normal 18" xfId="38" xr:uid="{D07E99E3-33B1-45C3-93C3-DB2E85FC572D}"/>
    <cellStyle name="Normal 18 2" xfId="45" xr:uid="{D2923F51-4DF3-49C4-91AF-74A87658CCCA}"/>
    <cellStyle name="Normal 18 3" xfId="50" xr:uid="{6BA41843-411E-4A09-8388-5DB0235BA8E1}"/>
    <cellStyle name="Normal 18 3 2" xfId="70" xr:uid="{DD670795-0025-4531-8B94-0FBBAA9CFB27}"/>
    <cellStyle name="Normal 18 3 3" xfId="83" xr:uid="{D02D5A08-5BE1-4250-B176-A13864B0F2EF}"/>
    <cellStyle name="Normal 18 3 4" xfId="96" xr:uid="{EE4DD47B-6253-4F6F-A0EC-644AD649C9D5}"/>
    <cellStyle name="Normal 18 3 5" xfId="111" xr:uid="{D0555593-CD6F-442E-8264-26424B2DF8B4}"/>
    <cellStyle name="Normal 18 3 6" xfId="124" xr:uid="{6D07B02E-A348-4600-8E74-9404F8B0F51A}"/>
    <cellStyle name="Normal 18 4" xfId="56" xr:uid="{01630408-04F9-4481-88FD-FDC9A5756CB4}"/>
    <cellStyle name="Normal 18 5" xfId="64" xr:uid="{6837EFF9-A79E-4C8E-853A-AE64CFA3E01A}"/>
    <cellStyle name="Normal 18 6" xfId="77" xr:uid="{6B66942F-EA9B-4066-A757-2A16A79C675E}"/>
    <cellStyle name="Normal 18 7" xfId="90" xr:uid="{141EE4E1-6E6D-435F-A7F5-EAFA82833935}"/>
    <cellStyle name="Normal 18 8" xfId="105" xr:uid="{6DEA86FD-B9F5-4DC3-8C1B-30A81F805004}"/>
    <cellStyle name="Normal 18 9" xfId="118" xr:uid="{4AAB87D2-D8E6-4AF4-A62A-38408E74F192}"/>
    <cellStyle name="Normal 19" xfId="51" xr:uid="{2F91F8B0-5E3C-45C3-A8DE-18EB2DAEF24E}"/>
    <cellStyle name="Normal 2" xfId="2" xr:uid="{AE9929F8-A74A-4398-976F-3F88694134CD}"/>
    <cellStyle name="Normal 2 2" xfId="41" xr:uid="{7A2444F2-B59A-49C0-9AFC-6E668D19D2C6}"/>
    <cellStyle name="Normal 2 2 2" xfId="57" xr:uid="{2F6FBD34-1B42-4F24-8126-FB3E0988D2EC}"/>
    <cellStyle name="Normal 20" xfId="58" xr:uid="{F0E3D6EF-4D7B-47FC-926D-D47C2BAC9C65}"/>
    <cellStyle name="Normal 21" xfId="59" xr:uid="{59ACD3DD-094B-4618-A8FC-EB4967FC7BCE}"/>
    <cellStyle name="Normal 22" xfId="72" xr:uid="{55F9B09A-9442-4764-B8AC-3873728E9F09}"/>
    <cellStyle name="Normal 23" xfId="85" xr:uid="{637531CC-BB1A-4725-BB8B-68C97CF70224}"/>
    <cellStyle name="Normal 24" xfId="100" xr:uid="{2CBFC6F8-8B7F-4782-8E2E-45303B6B2E18}"/>
    <cellStyle name="Normal 25" xfId="113" xr:uid="{653A093B-EBF2-4B17-93DF-E9EFC9E2242E}"/>
    <cellStyle name="Normal 26" xfId="1" xr:uid="{749436F9-69BE-4E4D-B9E1-BE6945D7A195}"/>
    <cellStyle name="Normal 3" xfId="3" xr:uid="{EF9EEE7B-D23D-41D6-9669-80DCC8A80ECB}"/>
    <cellStyle name="Normal 3 2" xfId="98" xr:uid="{8160824A-B834-4E23-AD4A-63FA1A6E3B18}"/>
    <cellStyle name="Normal 4" xfId="4" xr:uid="{656EA072-C521-47DC-BD0E-5F9FE55A94DF}"/>
    <cellStyle name="Normal 5" xfId="5" xr:uid="{B0DB2522-C157-4DC0-8E1C-45A523521673}"/>
    <cellStyle name="Normal 6" xfId="6" xr:uid="{D2EE0A30-3AA2-4917-A4CA-6A7C3F1686B5}"/>
    <cellStyle name="Normal 7" xfId="7" xr:uid="{9E38AA72-D565-40A7-9B32-09C30E7F2379}"/>
    <cellStyle name="Normal 8" xfId="8" xr:uid="{0CDE0B49-FD2A-4898-A6A1-A1E0DDB7B925}"/>
    <cellStyle name="Normal 9" xfId="9" xr:uid="{2769D0E1-4B16-4026-BE70-42F4D910E48F}"/>
  </cellStyles>
  <dxfs count="0"/>
  <tableStyles count="0" defaultTableStyle="TableStyleMedium2" defaultPivotStyle="PivotStyleLight16"/>
  <colors>
    <mruColors>
      <color rgb="FFF8CBAD"/>
      <color rgb="FFFFFF00"/>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4.xml"/><Relationship Id="rId4" Type="http://schemas.openxmlformats.org/officeDocument/2006/relationships/chartsheet" Target="chartsheets/sheet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Keswick Flow Alternatives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5"/>
          <c:order val="0"/>
          <c:tx>
            <c:strRef>
              <c:f>'Keswick Flow Alternatives'!$P$2</c:f>
              <c:strCache>
                <c:ptCount val="1"/>
                <c:pt idx="0">
                  <c:v>Timeline</c:v>
                </c:pt>
              </c:strCache>
            </c:strRef>
          </c:tx>
          <c:spPr>
            <a:ln w="19050" cap="rnd">
              <a:solidFill>
                <a:schemeClr val="tx1"/>
              </a:solidFill>
              <a:prstDash val="sysDash"/>
              <a:round/>
            </a:ln>
            <a:effectLst/>
          </c:spPr>
          <c:marker>
            <c:symbol val="none"/>
          </c:marker>
          <c:xVal>
            <c:numRef>
              <c:f>'Keswick Flow Alternatives'!$A$3:$A$215</c:f>
              <c:numCache>
                <c:formatCode>[$-F800]dddd\,\ mmmm\ dd\,\ yyyy</c:formatCode>
                <c:ptCount val="213"/>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numRef>
          </c:xVal>
          <c:yVal>
            <c:numRef>
              <c:f>'Keswick Flow Alternatives'!$P$3:$P$215</c:f>
              <c:numCache>
                <c:formatCode>General</c:formatCode>
                <c:ptCount val="213"/>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10000000</c:v>
                </c:pt>
                <c:pt idx="41">
                  <c:v>10000000</c:v>
                </c:pt>
                <c:pt idx="42">
                  <c:v>10000000</c:v>
                </c:pt>
                <c:pt idx="43">
                  <c:v>10000000</c:v>
                </c:pt>
                <c:pt idx="44">
                  <c:v>10000000</c:v>
                </c:pt>
                <c:pt idx="45">
                  <c:v>10000000</c:v>
                </c:pt>
                <c:pt idx="46">
                  <c:v>10000000</c:v>
                </c:pt>
                <c:pt idx="47">
                  <c:v>10000000</c:v>
                </c:pt>
                <c:pt idx="48">
                  <c:v>10000000</c:v>
                </c:pt>
                <c:pt idx="49">
                  <c:v>10000000</c:v>
                </c:pt>
                <c:pt idx="50">
                  <c:v>10000000</c:v>
                </c:pt>
                <c:pt idx="51">
                  <c:v>10000000</c:v>
                </c:pt>
                <c:pt idx="52">
                  <c:v>10000000</c:v>
                </c:pt>
                <c:pt idx="53">
                  <c:v>10000000</c:v>
                </c:pt>
                <c:pt idx="54">
                  <c:v>10000000</c:v>
                </c:pt>
                <c:pt idx="55">
                  <c:v>10000000</c:v>
                </c:pt>
                <c:pt idx="56">
                  <c:v>10000000</c:v>
                </c:pt>
                <c:pt idx="57">
                  <c:v>10000000</c:v>
                </c:pt>
                <c:pt idx="58">
                  <c:v>10000000</c:v>
                </c:pt>
                <c:pt idx="59">
                  <c:v>10000000</c:v>
                </c:pt>
                <c:pt idx="60">
                  <c:v>10000000</c:v>
                </c:pt>
                <c:pt idx="61">
                  <c:v>10000000</c:v>
                </c:pt>
                <c:pt idx="62">
                  <c:v>10000000</c:v>
                </c:pt>
                <c:pt idx="63">
                  <c:v>10000000</c:v>
                </c:pt>
                <c:pt idx="64">
                  <c:v>10000000</c:v>
                </c:pt>
                <c:pt idx="65">
                  <c:v>10000000</c:v>
                </c:pt>
                <c:pt idx="66">
                  <c:v>10000000</c:v>
                </c:pt>
                <c:pt idx="67">
                  <c:v>10000000</c:v>
                </c:pt>
                <c:pt idx="68">
                  <c:v>10000000</c:v>
                </c:pt>
                <c:pt idx="69">
                  <c:v>10000000</c:v>
                </c:pt>
                <c:pt idx="70">
                  <c:v>10000000</c:v>
                </c:pt>
                <c:pt idx="71">
                  <c:v>10000000</c:v>
                </c:pt>
                <c:pt idx="72">
                  <c:v>10000000</c:v>
                </c:pt>
                <c:pt idx="73">
                  <c:v>10000000</c:v>
                </c:pt>
                <c:pt idx="74">
                  <c:v>10000000</c:v>
                </c:pt>
                <c:pt idx="75">
                  <c:v>10000000</c:v>
                </c:pt>
                <c:pt idx="76">
                  <c:v>10000000</c:v>
                </c:pt>
                <c:pt idx="77">
                  <c:v>10000000</c:v>
                </c:pt>
                <c:pt idx="78">
                  <c:v>10000000</c:v>
                </c:pt>
                <c:pt idx="79">
                  <c:v>10000000</c:v>
                </c:pt>
                <c:pt idx="80">
                  <c:v>10000000</c:v>
                </c:pt>
                <c:pt idx="81">
                  <c:v>10000000</c:v>
                </c:pt>
                <c:pt idx="82">
                  <c:v>10000000</c:v>
                </c:pt>
                <c:pt idx="83">
                  <c:v>10000000</c:v>
                </c:pt>
                <c:pt idx="84">
                  <c:v>10000000</c:v>
                </c:pt>
                <c:pt idx="85">
                  <c:v>10000000</c:v>
                </c:pt>
                <c:pt idx="86">
                  <c:v>10000000</c:v>
                </c:pt>
                <c:pt idx="87">
                  <c:v>10000000</c:v>
                </c:pt>
                <c:pt idx="88">
                  <c:v>10000000</c:v>
                </c:pt>
                <c:pt idx="89">
                  <c:v>10000000</c:v>
                </c:pt>
                <c:pt idx="90">
                  <c:v>10000000</c:v>
                </c:pt>
                <c:pt idx="91">
                  <c:v>10000000</c:v>
                </c:pt>
                <c:pt idx="92">
                  <c:v>10000000</c:v>
                </c:pt>
                <c:pt idx="93">
                  <c:v>10000000</c:v>
                </c:pt>
                <c:pt idx="94">
                  <c:v>10000000</c:v>
                </c:pt>
                <c:pt idx="95">
                  <c:v>10000000</c:v>
                </c:pt>
                <c:pt idx="96">
                  <c:v>10000000</c:v>
                </c:pt>
                <c:pt idx="97">
                  <c:v>10000000</c:v>
                </c:pt>
                <c:pt idx="98">
                  <c:v>10000000</c:v>
                </c:pt>
                <c:pt idx="99">
                  <c:v>10000000</c:v>
                </c:pt>
                <c:pt idx="100">
                  <c:v>10000000</c:v>
                </c:pt>
                <c:pt idx="101">
                  <c:v>10000000</c:v>
                </c:pt>
                <c:pt idx="102">
                  <c:v>10000000</c:v>
                </c:pt>
                <c:pt idx="103">
                  <c:v>10000000</c:v>
                </c:pt>
                <c:pt idx="104">
                  <c:v>10000000</c:v>
                </c:pt>
                <c:pt idx="105">
                  <c:v>10000000</c:v>
                </c:pt>
                <c:pt idx="106">
                  <c:v>10000000</c:v>
                </c:pt>
                <c:pt idx="107">
                  <c:v>10000000</c:v>
                </c:pt>
                <c:pt idx="108">
                  <c:v>10000000</c:v>
                </c:pt>
                <c:pt idx="109">
                  <c:v>10000000</c:v>
                </c:pt>
                <c:pt idx="110">
                  <c:v>10000000</c:v>
                </c:pt>
                <c:pt idx="111">
                  <c:v>10000000</c:v>
                </c:pt>
                <c:pt idx="112">
                  <c:v>10000000</c:v>
                </c:pt>
                <c:pt idx="113">
                  <c:v>10000000</c:v>
                </c:pt>
                <c:pt idx="114">
                  <c:v>10000000</c:v>
                </c:pt>
                <c:pt idx="115">
                  <c:v>10000000</c:v>
                </c:pt>
                <c:pt idx="116">
                  <c:v>10000000</c:v>
                </c:pt>
                <c:pt idx="117">
                  <c:v>10000000</c:v>
                </c:pt>
                <c:pt idx="118">
                  <c:v>10000000</c:v>
                </c:pt>
                <c:pt idx="119">
                  <c:v>10000000</c:v>
                </c:pt>
                <c:pt idx="120">
                  <c:v>10000000</c:v>
                </c:pt>
                <c:pt idx="121">
                  <c:v>10000000</c:v>
                </c:pt>
                <c:pt idx="122">
                  <c:v>10000000</c:v>
                </c:pt>
                <c:pt idx="123">
                  <c:v>10000000</c:v>
                </c:pt>
                <c:pt idx="124">
                  <c:v>10000000</c:v>
                </c:pt>
                <c:pt idx="125">
                  <c:v>10000000</c:v>
                </c:pt>
                <c:pt idx="126">
                  <c:v>10000000</c:v>
                </c:pt>
                <c:pt idx="127">
                  <c:v>10000000</c:v>
                </c:pt>
                <c:pt idx="128">
                  <c:v>10000000</c:v>
                </c:pt>
                <c:pt idx="129">
                  <c:v>10000000</c:v>
                </c:pt>
                <c:pt idx="130">
                  <c:v>10000000</c:v>
                </c:pt>
                <c:pt idx="131">
                  <c:v>10000000</c:v>
                </c:pt>
                <c:pt idx="132">
                  <c:v>10000000</c:v>
                </c:pt>
                <c:pt idx="133">
                  <c:v>10000000</c:v>
                </c:pt>
                <c:pt idx="134">
                  <c:v>10000000</c:v>
                </c:pt>
                <c:pt idx="135">
                  <c:v>10000000</c:v>
                </c:pt>
                <c:pt idx="136">
                  <c:v>10000000</c:v>
                </c:pt>
                <c:pt idx="137">
                  <c:v>10000000</c:v>
                </c:pt>
                <c:pt idx="138">
                  <c:v>10000000</c:v>
                </c:pt>
                <c:pt idx="139">
                  <c:v>10000000</c:v>
                </c:pt>
                <c:pt idx="140">
                  <c:v>10000000</c:v>
                </c:pt>
                <c:pt idx="141">
                  <c:v>10000000</c:v>
                </c:pt>
                <c:pt idx="142">
                  <c:v>10000000</c:v>
                </c:pt>
                <c:pt idx="143">
                  <c:v>10000000</c:v>
                </c:pt>
                <c:pt idx="144">
                  <c:v>10000000</c:v>
                </c:pt>
                <c:pt idx="145">
                  <c:v>10000000</c:v>
                </c:pt>
                <c:pt idx="146">
                  <c:v>10000000</c:v>
                </c:pt>
                <c:pt idx="147">
                  <c:v>10000000</c:v>
                </c:pt>
                <c:pt idx="148">
                  <c:v>10000000</c:v>
                </c:pt>
                <c:pt idx="149">
                  <c:v>10000000</c:v>
                </c:pt>
                <c:pt idx="150">
                  <c:v>10000000</c:v>
                </c:pt>
                <c:pt idx="151">
                  <c:v>10000000</c:v>
                </c:pt>
                <c:pt idx="152">
                  <c:v>10000000</c:v>
                </c:pt>
                <c:pt idx="153">
                  <c:v>10000000</c:v>
                </c:pt>
                <c:pt idx="154">
                  <c:v>10000000</c:v>
                </c:pt>
                <c:pt idx="155">
                  <c:v>10000000</c:v>
                </c:pt>
                <c:pt idx="156">
                  <c:v>10000000</c:v>
                </c:pt>
                <c:pt idx="157">
                  <c:v>10000000</c:v>
                </c:pt>
                <c:pt idx="158">
                  <c:v>10000000</c:v>
                </c:pt>
                <c:pt idx="159">
                  <c:v>10000000</c:v>
                </c:pt>
                <c:pt idx="160">
                  <c:v>10000000</c:v>
                </c:pt>
                <c:pt idx="161">
                  <c:v>10000000</c:v>
                </c:pt>
                <c:pt idx="162">
                  <c:v>10000000</c:v>
                </c:pt>
                <c:pt idx="163">
                  <c:v>10000000</c:v>
                </c:pt>
                <c:pt idx="164">
                  <c:v>10000000</c:v>
                </c:pt>
                <c:pt idx="165">
                  <c:v>10000000</c:v>
                </c:pt>
                <c:pt idx="166">
                  <c:v>10000000</c:v>
                </c:pt>
                <c:pt idx="167">
                  <c:v>10000000</c:v>
                </c:pt>
                <c:pt idx="168">
                  <c:v>10000000</c:v>
                </c:pt>
                <c:pt idx="169">
                  <c:v>10000000</c:v>
                </c:pt>
                <c:pt idx="170">
                  <c:v>10000000</c:v>
                </c:pt>
                <c:pt idx="171">
                  <c:v>10000000</c:v>
                </c:pt>
                <c:pt idx="172">
                  <c:v>10000000</c:v>
                </c:pt>
                <c:pt idx="173">
                  <c:v>10000000</c:v>
                </c:pt>
                <c:pt idx="174">
                  <c:v>10000000</c:v>
                </c:pt>
                <c:pt idx="175">
                  <c:v>10000000</c:v>
                </c:pt>
                <c:pt idx="176">
                  <c:v>10000000</c:v>
                </c:pt>
                <c:pt idx="177">
                  <c:v>10000000</c:v>
                </c:pt>
                <c:pt idx="178">
                  <c:v>10000000</c:v>
                </c:pt>
                <c:pt idx="179">
                  <c:v>10000000</c:v>
                </c:pt>
                <c:pt idx="180">
                  <c:v>10000000</c:v>
                </c:pt>
                <c:pt idx="181">
                  <c:v>10000000</c:v>
                </c:pt>
                <c:pt idx="182">
                  <c:v>10000000</c:v>
                </c:pt>
                <c:pt idx="183">
                  <c:v>10000000</c:v>
                </c:pt>
                <c:pt idx="184">
                  <c:v>10000000</c:v>
                </c:pt>
                <c:pt idx="185">
                  <c:v>10000000</c:v>
                </c:pt>
                <c:pt idx="186">
                  <c:v>10000000</c:v>
                </c:pt>
                <c:pt idx="187">
                  <c:v>10000000</c:v>
                </c:pt>
                <c:pt idx="188">
                  <c:v>10000000</c:v>
                </c:pt>
                <c:pt idx="189">
                  <c:v>10000000</c:v>
                </c:pt>
                <c:pt idx="190">
                  <c:v>10000000</c:v>
                </c:pt>
                <c:pt idx="191">
                  <c:v>10000000</c:v>
                </c:pt>
                <c:pt idx="192">
                  <c:v>10000000</c:v>
                </c:pt>
                <c:pt idx="193">
                  <c:v>10000000</c:v>
                </c:pt>
                <c:pt idx="194">
                  <c:v>10000000</c:v>
                </c:pt>
                <c:pt idx="195">
                  <c:v>10000000</c:v>
                </c:pt>
                <c:pt idx="196">
                  <c:v>10000000</c:v>
                </c:pt>
                <c:pt idx="197">
                  <c:v>10000000</c:v>
                </c:pt>
                <c:pt idx="198">
                  <c:v>10000000</c:v>
                </c:pt>
                <c:pt idx="199">
                  <c:v>10000000</c:v>
                </c:pt>
                <c:pt idx="200">
                  <c:v>10000000</c:v>
                </c:pt>
                <c:pt idx="201">
                  <c:v>10000000</c:v>
                </c:pt>
                <c:pt idx="202">
                  <c:v>10000000</c:v>
                </c:pt>
                <c:pt idx="203">
                  <c:v>10000000</c:v>
                </c:pt>
                <c:pt idx="204">
                  <c:v>10000000</c:v>
                </c:pt>
                <c:pt idx="205">
                  <c:v>10000000</c:v>
                </c:pt>
                <c:pt idx="206">
                  <c:v>10000000</c:v>
                </c:pt>
                <c:pt idx="207">
                  <c:v>10000000</c:v>
                </c:pt>
                <c:pt idx="208">
                  <c:v>10000000</c:v>
                </c:pt>
                <c:pt idx="209">
                  <c:v>10000000</c:v>
                </c:pt>
                <c:pt idx="210">
                  <c:v>10000000</c:v>
                </c:pt>
                <c:pt idx="211">
                  <c:v>10000000</c:v>
                </c:pt>
              </c:numCache>
            </c:numRef>
          </c:yVal>
          <c:smooth val="1"/>
          <c:extLst>
            <c:ext xmlns:c16="http://schemas.microsoft.com/office/drawing/2014/chart" uri="{C3380CC4-5D6E-409C-BE32-E72D297353CC}">
              <c16:uniqueId val="{00000005-CF8D-4DA3-B88B-3699E3D10B95}"/>
            </c:ext>
          </c:extLst>
        </c:ser>
        <c:ser>
          <c:idx val="8"/>
          <c:order val="6"/>
          <c:tx>
            <c:strRef>
              <c:f>'Keswick Flow Alternatives'!$H$2</c:f>
              <c:strCache>
                <c:ptCount val="1"/>
                <c:pt idx="0">
                  <c:v>C2</c:v>
                </c:pt>
              </c:strCache>
            </c:strRef>
          </c:tx>
          <c:spPr>
            <a:ln w="19050" cap="rnd">
              <a:solidFill>
                <a:schemeClr val="accent6"/>
              </a:solidFill>
              <a:round/>
            </a:ln>
            <a:effectLst/>
          </c:spPr>
          <c:marker>
            <c:symbol val="none"/>
          </c:marker>
          <c:xVal>
            <c:numRef>
              <c:f>'Keswick Flow Alternatives'!$A$3:$A$214</c:f>
              <c:numCache>
                <c:formatCode>[$-F800]dddd\,\ mmmm\ dd\,\ yyyy</c:formatCode>
                <c:ptCount val="212"/>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numRef>
          </c:xVal>
          <c:yVal>
            <c:numRef>
              <c:f>'Keswick Flow Alternatives'!$H$3:$H$214</c:f>
              <c:numCache>
                <c:formatCode>General</c:formatCode>
                <c:ptCount val="212"/>
                <c:pt idx="31">
                  <c:v>7992</c:v>
                </c:pt>
                <c:pt idx="32">
                  <c:v>7971</c:v>
                </c:pt>
                <c:pt idx="33">
                  <c:v>7624</c:v>
                </c:pt>
                <c:pt idx="34">
                  <c:v>7773</c:v>
                </c:pt>
                <c:pt idx="35">
                  <c:v>7394</c:v>
                </c:pt>
                <c:pt idx="36">
                  <c:v>7395</c:v>
                </c:pt>
                <c:pt idx="37">
                  <c:v>7053</c:v>
                </c:pt>
                <c:pt idx="38">
                  <c:v>6985</c:v>
                </c:pt>
                <c:pt idx="39">
                  <c:v>6992</c:v>
                </c:pt>
                <c:pt idx="40">
                  <c:v>7000</c:v>
                </c:pt>
                <c:pt idx="41">
                  <c:v>7000</c:v>
                </c:pt>
                <c:pt idx="42">
                  <c:v>7000</c:v>
                </c:pt>
                <c:pt idx="43">
                  <c:v>6500</c:v>
                </c:pt>
                <c:pt idx="44">
                  <c:v>6500</c:v>
                </c:pt>
                <c:pt idx="45">
                  <c:v>6500</c:v>
                </c:pt>
                <c:pt idx="46">
                  <c:v>6500</c:v>
                </c:pt>
                <c:pt idx="47">
                  <c:v>6500</c:v>
                </c:pt>
                <c:pt idx="48">
                  <c:v>6000</c:v>
                </c:pt>
                <c:pt idx="49">
                  <c:v>6000</c:v>
                </c:pt>
                <c:pt idx="50">
                  <c:v>6000</c:v>
                </c:pt>
                <c:pt idx="51">
                  <c:v>6000</c:v>
                </c:pt>
                <c:pt idx="52">
                  <c:v>6000</c:v>
                </c:pt>
                <c:pt idx="53">
                  <c:v>6000</c:v>
                </c:pt>
                <c:pt idx="54">
                  <c:v>6000</c:v>
                </c:pt>
                <c:pt idx="55">
                  <c:v>6000</c:v>
                </c:pt>
                <c:pt idx="56">
                  <c:v>6000</c:v>
                </c:pt>
                <c:pt idx="57">
                  <c:v>6000</c:v>
                </c:pt>
                <c:pt idx="58">
                  <c:v>6000</c:v>
                </c:pt>
                <c:pt idx="59">
                  <c:v>6000</c:v>
                </c:pt>
                <c:pt idx="60">
                  <c:v>6000</c:v>
                </c:pt>
                <c:pt idx="61">
                  <c:v>6000</c:v>
                </c:pt>
                <c:pt idx="62">
                  <c:v>6000</c:v>
                </c:pt>
                <c:pt idx="63">
                  <c:v>6000</c:v>
                </c:pt>
                <c:pt idx="64">
                  <c:v>6000</c:v>
                </c:pt>
                <c:pt idx="65">
                  <c:v>6000</c:v>
                </c:pt>
                <c:pt idx="66">
                  <c:v>6000</c:v>
                </c:pt>
                <c:pt idx="67">
                  <c:v>6000</c:v>
                </c:pt>
                <c:pt idx="68">
                  <c:v>6000</c:v>
                </c:pt>
                <c:pt idx="69">
                  <c:v>6000</c:v>
                </c:pt>
                <c:pt idx="70">
                  <c:v>6000</c:v>
                </c:pt>
                <c:pt idx="71">
                  <c:v>6000</c:v>
                </c:pt>
                <c:pt idx="72">
                  <c:v>6000</c:v>
                </c:pt>
                <c:pt idx="73">
                  <c:v>6000</c:v>
                </c:pt>
                <c:pt idx="74">
                  <c:v>6000</c:v>
                </c:pt>
                <c:pt idx="75">
                  <c:v>6000</c:v>
                </c:pt>
                <c:pt idx="76">
                  <c:v>5500</c:v>
                </c:pt>
                <c:pt idx="77">
                  <c:v>5500</c:v>
                </c:pt>
                <c:pt idx="78">
                  <c:v>5500</c:v>
                </c:pt>
                <c:pt idx="79">
                  <c:v>5500</c:v>
                </c:pt>
                <c:pt idx="80">
                  <c:v>5500</c:v>
                </c:pt>
                <c:pt idx="81">
                  <c:v>5500</c:v>
                </c:pt>
                <c:pt idx="82">
                  <c:v>5500</c:v>
                </c:pt>
                <c:pt idx="83">
                  <c:v>5500</c:v>
                </c:pt>
                <c:pt idx="84">
                  <c:v>5500</c:v>
                </c:pt>
                <c:pt idx="85">
                  <c:v>5500</c:v>
                </c:pt>
                <c:pt idx="86">
                  <c:v>5500</c:v>
                </c:pt>
                <c:pt idx="87">
                  <c:v>5500</c:v>
                </c:pt>
                <c:pt idx="88">
                  <c:v>5500</c:v>
                </c:pt>
                <c:pt idx="89">
                  <c:v>5500</c:v>
                </c:pt>
                <c:pt idx="90">
                  <c:v>5500</c:v>
                </c:pt>
                <c:pt idx="91">
                  <c:v>5500</c:v>
                </c:pt>
                <c:pt idx="92" formatCode="#,##0">
                  <c:v>5300</c:v>
                </c:pt>
                <c:pt idx="93" formatCode="#,##0">
                  <c:v>5200</c:v>
                </c:pt>
                <c:pt idx="94" formatCode="#,##0">
                  <c:v>5200</c:v>
                </c:pt>
                <c:pt idx="95" formatCode="#,##0">
                  <c:v>5200</c:v>
                </c:pt>
                <c:pt idx="96" formatCode="#,##0">
                  <c:v>5200</c:v>
                </c:pt>
                <c:pt idx="97" formatCode="#,##0">
                  <c:v>5200</c:v>
                </c:pt>
                <c:pt idx="98" formatCode="#,##0">
                  <c:v>5200</c:v>
                </c:pt>
                <c:pt idx="99" formatCode="#,##0">
                  <c:v>5200</c:v>
                </c:pt>
                <c:pt idx="100" formatCode="#,##0">
                  <c:v>5200</c:v>
                </c:pt>
                <c:pt idx="101" formatCode="#,##0">
                  <c:v>5200</c:v>
                </c:pt>
                <c:pt idx="102" formatCode="#,##0">
                  <c:v>5200</c:v>
                </c:pt>
                <c:pt idx="103" formatCode="#,##0">
                  <c:v>5200</c:v>
                </c:pt>
                <c:pt idx="104" formatCode="#,##0">
                  <c:v>5200</c:v>
                </c:pt>
                <c:pt idx="105" formatCode="#,##0">
                  <c:v>5200</c:v>
                </c:pt>
                <c:pt idx="106" formatCode="#,##0">
                  <c:v>5000</c:v>
                </c:pt>
                <c:pt idx="107" formatCode="#,##0">
                  <c:v>4800</c:v>
                </c:pt>
                <c:pt idx="108" formatCode="#,##0">
                  <c:v>4600</c:v>
                </c:pt>
                <c:pt idx="109" formatCode="#,##0">
                  <c:v>4600</c:v>
                </c:pt>
                <c:pt idx="110" formatCode="#,##0">
                  <c:v>4600</c:v>
                </c:pt>
                <c:pt idx="111" formatCode="#,##0">
                  <c:v>4600</c:v>
                </c:pt>
                <c:pt idx="112" formatCode="#,##0">
                  <c:v>4400</c:v>
                </c:pt>
                <c:pt idx="113" formatCode="#,##0">
                  <c:v>4200</c:v>
                </c:pt>
                <c:pt idx="114" formatCode="#,##0">
                  <c:v>4000</c:v>
                </c:pt>
                <c:pt idx="115" formatCode="#,##0">
                  <c:v>4000</c:v>
                </c:pt>
                <c:pt idx="116" formatCode="#,##0">
                  <c:v>4000</c:v>
                </c:pt>
                <c:pt idx="117" formatCode="#,##0">
                  <c:v>4000</c:v>
                </c:pt>
                <c:pt idx="118" formatCode="#,##0">
                  <c:v>4000</c:v>
                </c:pt>
                <c:pt idx="119" formatCode="#,##0">
                  <c:v>4000</c:v>
                </c:pt>
                <c:pt idx="120" formatCode="#,##0">
                  <c:v>4000</c:v>
                </c:pt>
                <c:pt idx="121" formatCode="#,##0">
                  <c:v>4000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c:ext xmlns:c16="http://schemas.microsoft.com/office/drawing/2014/chart" uri="{C3380CC4-5D6E-409C-BE32-E72D297353CC}">
              <c16:uniqueId val="{00000002-F0B7-427A-9A0D-289CD07FB1C0}"/>
            </c:ext>
          </c:extLst>
        </c:ser>
        <c:ser>
          <c:idx val="9"/>
          <c:order val="7"/>
          <c:tx>
            <c:strRef>
              <c:f>'Keswick Flow Alternatives'!$I$2</c:f>
              <c:strCache>
                <c:ptCount val="1"/>
                <c:pt idx="0">
                  <c:v>D1</c:v>
                </c:pt>
              </c:strCache>
            </c:strRef>
          </c:tx>
          <c:spPr>
            <a:ln w="19050" cap="rnd">
              <a:solidFill>
                <a:schemeClr val="accent5"/>
              </a:solidFill>
              <a:round/>
            </a:ln>
            <a:effectLst/>
          </c:spPr>
          <c:marker>
            <c:symbol val="none"/>
          </c:marker>
          <c:xVal>
            <c:numRef>
              <c:f>'Keswick Flow Alternatives'!$A$3:$A$214</c:f>
              <c:numCache>
                <c:formatCode>[$-F800]dddd\,\ mmmm\ dd\,\ yyyy</c:formatCode>
                <c:ptCount val="212"/>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numRef>
          </c:xVal>
          <c:yVal>
            <c:numRef>
              <c:f>'Keswick Flow Alternatives'!$I$3:$I$214</c:f>
              <c:numCache>
                <c:formatCode>General</c:formatCode>
                <c:ptCount val="212"/>
                <c:pt idx="31">
                  <c:v>7992</c:v>
                </c:pt>
                <c:pt idx="32">
                  <c:v>7971</c:v>
                </c:pt>
                <c:pt idx="33">
                  <c:v>7624</c:v>
                </c:pt>
                <c:pt idx="34">
                  <c:v>7773</c:v>
                </c:pt>
                <c:pt idx="35">
                  <c:v>7394</c:v>
                </c:pt>
                <c:pt idx="36">
                  <c:v>7395</c:v>
                </c:pt>
                <c:pt idx="37">
                  <c:v>7053</c:v>
                </c:pt>
                <c:pt idx="38">
                  <c:v>6985</c:v>
                </c:pt>
                <c:pt idx="39">
                  <c:v>6992</c:v>
                </c:pt>
                <c:pt idx="40">
                  <c:v>7000</c:v>
                </c:pt>
                <c:pt idx="41">
                  <c:v>7000</c:v>
                </c:pt>
                <c:pt idx="42">
                  <c:v>7000</c:v>
                </c:pt>
                <c:pt idx="43">
                  <c:v>6500</c:v>
                </c:pt>
                <c:pt idx="44">
                  <c:v>6500</c:v>
                </c:pt>
                <c:pt idx="45">
                  <c:v>6500</c:v>
                </c:pt>
                <c:pt idx="46">
                  <c:v>6500</c:v>
                </c:pt>
                <c:pt idx="47">
                  <c:v>6500</c:v>
                </c:pt>
                <c:pt idx="48">
                  <c:v>6500</c:v>
                </c:pt>
                <c:pt idx="49">
                  <c:v>6500</c:v>
                </c:pt>
                <c:pt idx="50">
                  <c:v>6500</c:v>
                </c:pt>
                <c:pt idx="51">
                  <c:v>6500</c:v>
                </c:pt>
                <c:pt idx="52">
                  <c:v>6500</c:v>
                </c:pt>
                <c:pt idx="53">
                  <c:v>6500</c:v>
                </c:pt>
                <c:pt idx="54">
                  <c:v>6500</c:v>
                </c:pt>
                <c:pt idx="55">
                  <c:v>6500</c:v>
                </c:pt>
                <c:pt idx="56">
                  <c:v>6500</c:v>
                </c:pt>
                <c:pt idx="57">
                  <c:v>6500</c:v>
                </c:pt>
                <c:pt idx="58">
                  <c:v>6500</c:v>
                </c:pt>
                <c:pt idx="59">
                  <c:v>6500</c:v>
                </c:pt>
                <c:pt idx="60">
                  <c:v>6500</c:v>
                </c:pt>
                <c:pt idx="61">
                  <c:v>6500</c:v>
                </c:pt>
                <c:pt idx="62">
                  <c:v>6500</c:v>
                </c:pt>
                <c:pt idx="63">
                  <c:v>6500</c:v>
                </c:pt>
                <c:pt idx="64">
                  <c:v>6500</c:v>
                </c:pt>
                <c:pt idx="65">
                  <c:v>6500</c:v>
                </c:pt>
                <c:pt idx="66">
                  <c:v>6500</c:v>
                </c:pt>
                <c:pt idx="67">
                  <c:v>6500</c:v>
                </c:pt>
                <c:pt idx="68">
                  <c:v>6500</c:v>
                </c:pt>
                <c:pt idx="69">
                  <c:v>6500</c:v>
                </c:pt>
                <c:pt idx="70">
                  <c:v>6500</c:v>
                </c:pt>
                <c:pt idx="71">
                  <c:v>6500</c:v>
                </c:pt>
                <c:pt idx="72">
                  <c:v>6500</c:v>
                </c:pt>
                <c:pt idx="73">
                  <c:v>6500</c:v>
                </c:pt>
                <c:pt idx="74">
                  <c:v>6500</c:v>
                </c:pt>
                <c:pt idx="75">
                  <c:v>6500</c:v>
                </c:pt>
                <c:pt idx="76">
                  <c:v>6500</c:v>
                </c:pt>
                <c:pt idx="77">
                  <c:v>6500</c:v>
                </c:pt>
                <c:pt idx="78">
                  <c:v>6500</c:v>
                </c:pt>
                <c:pt idx="79">
                  <c:v>6500</c:v>
                </c:pt>
                <c:pt idx="80">
                  <c:v>6500</c:v>
                </c:pt>
                <c:pt idx="81">
                  <c:v>6500</c:v>
                </c:pt>
                <c:pt idx="82">
                  <c:v>6500</c:v>
                </c:pt>
                <c:pt idx="83">
                  <c:v>6500</c:v>
                </c:pt>
                <c:pt idx="84">
                  <c:v>6500</c:v>
                </c:pt>
                <c:pt idx="85">
                  <c:v>6500</c:v>
                </c:pt>
                <c:pt idx="86">
                  <c:v>6500</c:v>
                </c:pt>
                <c:pt idx="87">
                  <c:v>6500</c:v>
                </c:pt>
                <c:pt idx="88">
                  <c:v>6500</c:v>
                </c:pt>
                <c:pt idx="89">
                  <c:v>6500</c:v>
                </c:pt>
                <c:pt idx="90">
                  <c:v>6500</c:v>
                </c:pt>
                <c:pt idx="91">
                  <c:v>6500</c:v>
                </c:pt>
                <c:pt idx="92" formatCode="#,##0">
                  <c:v>6000</c:v>
                </c:pt>
                <c:pt idx="93" formatCode="#,##0">
                  <c:v>5800</c:v>
                </c:pt>
                <c:pt idx="94" formatCode="#,##0">
                  <c:v>5600</c:v>
                </c:pt>
                <c:pt idx="95" formatCode="#,##0">
                  <c:v>5400</c:v>
                </c:pt>
                <c:pt idx="96" formatCode="#,##0">
                  <c:v>5200</c:v>
                </c:pt>
                <c:pt idx="97" formatCode="#,##0">
                  <c:v>5000</c:v>
                </c:pt>
                <c:pt idx="98" formatCode="#,##0">
                  <c:v>4800</c:v>
                </c:pt>
                <c:pt idx="99" formatCode="#,##0">
                  <c:v>4600</c:v>
                </c:pt>
                <c:pt idx="100" formatCode="#,##0">
                  <c:v>4400</c:v>
                </c:pt>
                <c:pt idx="101" formatCode="#,##0">
                  <c:v>4200</c:v>
                </c:pt>
                <c:pt idx="102" formatCode="#,##0">
                  <c:v>4000</c:v>
                </c:pt>
                <c:pt idx="103" formatCode="#,##0">
                  <c:v>4000</c:v>
                </c:pt>
                <c:pt idx="104" formatCode="#,##0">
                  <c:v>4000</c:v>
                </c:pt>
                <c:pt idx="105" formatCode="#,##0">
                  <c:v>4000</c:v>
                </c:pt>
                <c:pt idx="106" formatCode="#,##0">
                  <c:v>4000</c:v>
                </c:pt>
                <c:pt idx="107" formatCode="#,##0">
                  <c:v>4000</c:v>
                </c:pt>
                <c:pt idx="108" formatCode="#,##0">
                  <c:v>4000</c:v>
                </c:pt>
                <c:pt idx="109" formatCode="#,##0">
                  <c:v>4000</c:v>
                </c:pt>
                <c:pt idx="110" formatCode="#,##0">
                  <c:v>4000</c:v>
                </c:pt>
                <c:pt idx="111" formatCode="#,##0">
                  <c:v>4000</c:v>
                </c:pt>
                <c:pt idx="112" formatCode="#,##0">
                  <c:v>4000</c:v>
                </c:pt>
                <c:pt idx="113" formatCode="#,##0">
                  <c:v>4000</c:v>
                </c:pt>
                <c:pt idx="114" formatCode="#,##0">
                  <c:v>4000</c:v>
                </c:pt>
                <c:pt idx="115" formatCode="#,##0">
                  <c:v>4000</c:v>
                </c:pt>
                <c:pt idx="116" formatCode="#,##0">
                  <c:v>4000</c:v>
                </c:pt>
                <c:pt idx="117" formatCode="#,##0">
                  <c:v>4000</c:v>
                </c:pt>
                <c:pt idx="118" formatCode="#,##0">
                  <c:v>4000</c:v>
                </c:pt>
                <c:pt idx="119" formatCode="#,##0">
                  <c:v>4000</c:v>
                </c:pt>
                <c:pt idx="120" formatCode="#,##0">
                  <c:v>4000</c:v>
                </c:pt>
                <c:pt idx="121" formatCode="#,##0">
                  <c:v>4000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c:ext xmlns:c16="http://schemas.microsoft.com/office/drawing/2014/chart" uri="{C3380CC4-5D6E-409C-BE32-E72D297353CC}">
              <c16:uniqueId val="{00000003-F0B7-427A-9A0D-289CD07FB1C0}"/>
            </c:ext>
          </c:extLst>
        </c:ser>
        <c:ser>
          <c:idx val="0"/>
          <c:order val="8"/>
          <c:tx>
            <c:strRef>
              <c:f>'Keswick Flow Alternatives'!$B$2</c:f>
              <c:strCache>
                <c:ptCount val="1"/>
                <c:pt idx="0">
                  <c:v>Actual</c:v>
                </c:pt>
              </c:strCache>
            </c:strRef>
          </c:tx>
          <c:spPr>
            <a:ln w="31750" cap="rnd">
              <a:solidFill>
                <a:schemeClr val="tx1"/>
              </a:solidFill>
              <a:round/>
            </a:ln>
            <a:effectLst/>
          </c:spPr>
          <c:marker>
            <c:symbol val="none"/>
          </c:marker>
          <c:xVal>
            <c:numRef>
              <c:f>'Keswick Flow Alternatives'!$A$3:$A$215</c:f>
              <c:numCache>
                <c:formatCode>[$-F800]dddd\,\ mmmm\ dd\,\ yyyy</c:formatCode>
                <c:ptCount val="213"/>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numRef>
          </c:xVal>
          <c:yVal>
            <c:numRef>
              <c:f>'Keswick Flow Alternatives'!$B$3:$B$215</c:f>
              <c:numCache>
                <c:formatCode>General</c:formatCode>
                <c:ptCount val="213"/>
                <c:pt idx="0">
                  <c:v>12939</c:v>
                </c:pt>
                <c:pt idx="1">
                  <c:v>13066</c:v>
                </c:pt>
                <c:pt idx="2">
                  <c:v>13033</c:v>
                </c:pt>
                <c:pt idx="3">
                  <c:v>13079</c:v>
                </c:pt>
                <c:pt idx="4">
                  <c:v>13075</c:v>
                </c:pt>
                <c:pt idx="5">
                  <c:v>13074</c:v>
                </c:pt>
                <c:pt idx="6">
                  <c:v>13090</c:v>
                </c:pt>
                <c:pt idx="7">
                  <c:v>13133</c:v>
                </c:pt>
                <c:pt idx="8">
                  <c:v>13148</c:v>
                </c:pt>
                <c:pt idx="9">
                  <c:v>13139</c:v>
                </c:pt>
                <c:pt idx="10">
                  <c:v>13100</c:v>
                </c:pt>
                <c:pt idx="11">
                  <c:v>13105</c:v>
                </c:pt>
                <c:pt idx="12">
                  <c:v>12450</c:v>
                </c:pt>
                <c:pt idx="13">
                  <c:v>12021</c:v>
                </c:pt>
                <c:pt idx="14">
                  <c:v>11529</c:v>
                </c:pt>
                <c:pt idx="15">
                  <c:v>10964</c:v>
                </c:pt>
                <c:pt idx="16">
                  <c:v>10948</c:v>
                </c:pt>
                <c:pt idx="17">
                  <c:v>10939</c:v>
                </c:pt>
                <c:pt idx="18">
                  <c:v>10681</c:v>
                </c:pt>
                <c:pt idx="19">
                  <c:v>10113</c:v>
                </c:pt>
                <c:pt idx="20">
                  <c:v>10090</c:v>
                </c:pt>
                <c:pt idx="21">
                  <c:v>9999</c:v>
                </c:pt>
                <c:pt idx="22">
                  <c:v>10066</c:v>
                </c:pt>
                <c:pt idx="23">
                  <c:v>10071</c:v>
                </c:pt>
                <c:pt idx="24">
                  <c:v>10077</c:v>
                </c:pt>
                <c:pt idx="25">
                  <c:v>9503</c:v>
                </c:pt>
                <c:pt idx="26">
                  <c:v>9485</c:v>
                </c:pt>
                <c:pt idx="27">
                  <c:v>9005</c:v>
                </c:pt>
                <c:pt idx="28">
                  <c:v>8965</c:v>
                </c:pt>
                <c:pt idx="29">
                  <c:v>8519</c:v>
                </c:pt>
                <c:pt idx="30">
                  <c:v>8031</c:v>
                </c:pt>
                <c:pt idx="31">
                  <c:v>7992</c:v>
                </c:pt>
                <c:pt idx="32">
                  <c:v>7971</c:v>
                </c:pt>
                <c:pt idx="33">
                  <c:v>7624</c:v>
                </c:pt>
                <c:pt idx="34">
                  <c:v>7773</c:v>
                </c:pt>
                <c:pt idx="35">
                  <c:v>7394</c:v>
                </c:pt>
                <c:pt idx="36">
                  <c:v>7395</c:v>
                </c:pt>
                <c:pt idx="37">
                  <c:v>7053</c:v>
                </c:pt>
                <c:pt idx="38">
                  <c:v>6985</c:v>
                </c:pt>
                <c:pt idx="39">
                  <c:v>6992</c:v>
                </c:pt>
              </c:numCache>
            </c:numRef>
          </c:yVal>
          <c:smooth val="1"/>
          <c:extLst>
            <c:ext xmlns:c16="http://schemas.microsoft.com/office/drawing/2014/chart" uri="{C3380CC4-5D6E-409C-BE32-E72D297353CC}">
              <c16:uniqueId val="{00000000-CF8D-4DA3-B88B-3699E3D10B95}"/>
            </c:ext>
          </c:extLst>
        </c:ser>
        <c:dLbls>
          <c:showLegendKey val="0"/>
          <c:showVal val="0"/>
          <c:showCatName val="0"/>
          <c:showSerName val="0"/>
          <c:showPercent val="0"/>
          <c:showBubbleSize val="0"/>
        </c:dLbls>
        <c:axId val="130573520"/>
        <c:axId val="130545200"/>
        <c:extLst>
          <c:ext xmlns:c15="http://schemas.microsoft.com/office/drawing/2012/chart" uri="{02D57815-91ED-43cb-92C2-25804820EDAC}">
            <c15:filteredScatterSeries>
              <c15:ser>
                <c:idx val="1"/>
                <c:order val="1"/>
                <c:tx>
                  <c:strRef>
                    <c:extLst>
                      <c:ext uri="{02D57815-91ED-43cb-92C2-25804820EDAC}">
                        <c15:formulaRef>
                          <c15:sqref>'Keswick Flow Alternatives'!$C$2</c15:sqref>
                        </c15:formulaRef>
                      </c:ext>
                    </c:extLst>
                    <c:strCache>
                      <c:ptCount val="1"/>
                      <c:pt idx="0">
                        <c:v>A1</c:v>
                      </c:pt>
                    </c:strCache>
                  </c:strRef>
                </c:tx>
                <c:spPr>
                  <a:ln w="25400" cap="rnd">
                    <a:solidFill>
                      <a:srgbClr val="7030A0"/>
                    </a:solidFill>
                    <a:round/>
                  </a:ln>
                  <a:effectLst/>
                </c:spPr>
                <c:marker>
                  <c:symbol val="none"/>
                </c:marker>
                <c:xVal>
                  <c:numRef>
                    <c:extLst>
                      <c:ext uri="{02D57815-91ED-43cb-92C2-25804820EDAC}">
                        <c15:formulaRef>
                          <c15:sqref>'Keswick Flow Alternatives'!$A$3:$A$215</c15:sqref>
                        </c15:formulaRef>
                      </c:ext>
                    </c:extLst>
                    <c:numCache>
                      <c:formatCode>[$-F800]dddd\,\ mmmm\ dd\,\ yyyy</c:formatCode>
                      <c:ptCount val="213"/>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numRef>
                </c:xVal>
                <c:yVal>
                  <c:numRef>
                    <c:extLst>
                      <c:ext uri="{02D57815-91ED-43cb-92C2-25804820EDAC}">
                        <c15:formulaRef>
                          <c15:sqref>'Keswick Flow Alternatives'!$C$3:$C$215</c15:sqref>
                        </c15:formulaRef>
                      </c:ext>
                    </c:extLst>
                    <c:numCache>
                      <c:formatCode>General</c:formatCode>
                      <c:ptCount val="213"/>
                      <c:pt idx="31">
                        <c:v>8000</c:v>
                      </c:pt>
                      <c:pt idx="32">
                        <c:v>8000</c:v>
                      </c:pt>
                      <c:pt idx="33">
                        <c:v>8000</c:v>
                      </c:pt>
                      <c:pt idx="34">
                        <c:v>8000</c:v>
                      </c:pt>
                      <c:pt idx="35">
                        <c:v>8000</c:v>
                      </c:pt>
                      <c:pt idx="36">
                        <c:v>8000</c:v>
                      </c:pt>
                      <c:pt idx="37">
                        <c:v>8000</c:v>
                      </c:pt>
                      <c:pt idx="38">
                        <c:v>8000</c:v>
                      </c:pt>
                      <c:pt idx="39">
                        <c:v>8000</c:v>
                      </c:pt>
                      <c:pt idx="40">
                        <c:v>8000</c:v>
                      </c:pt>
                      <c:pt idx="41">
                        <c:v>8000</c:v>
                      </c:pt>
                      <c:pt idx="42">
                        <c:v>8000</c:v>
                      </c:pt>
                      <c:pt idx="43">
                        <c:v>8000</c:v>
                      </c:pt>
                      <c:pt idx="44">
                        <c:v>8000</c:v>
                      </c:pt>
                      <c:pt idx="45">
                        <c:v>8000</c:v>
                      </c:pt>
                      <c:pt idx="46">
                        <c:v>8000</c:v>
                      </c:pt>
                      <c:pt idx="47">
                        <c:v>8000</c:v>
                      </c:pt>
                      <c:pt idx="48">
                        <c:v>8000</c:v>
                      </c:pt>
                      <c:pt idx="49">
                        <c:v>8000</c:v>
                      </c:pt>
                      <c:pt idx="50">
                        <c:v>8000</c:v>
                      </c:pt>
                      <c:pt idx="51">
                        <c:v>8000</c:v>
                      </c:pt>
                      <c:pt idx="52">
                        <c:v>8000</c:v>
                      </c:pt>
                      <c:pt idx="53">
                        <c:v>8000</c:v>
                      </c:pt>
                      <c:pt idx="54">
                        <c:v>8000</c:v>
                      </c:pt>
                      <c:pt idx="55">
                        <c:v>8000</c:v>
                      </c:pt>
                      <c:pt idx="56">
                        <c:v>8000</c:v>
                      </c:pt>
                      <c:pt idx="57">
                        <c:v>8000</c:v>
                      </c:pt>
                      <c:pt idx="58">
                        <c:v>8000</c:v>
                      </c:pt>
                      <c:pt idx="59">
                        <c:v>8000</c:v>
                      </c:pt>
                      <c:pt idx="60">
                        <c:v>8000</c:v>
                      </c:pt>
                      <c:pt idx="61">
                        <c:v>7000</c:v>
                      </c:pt>
                      <c:pt idx="62">
                        <c:v>7000</c:v>
                      </c:pt>
                      <c:pt idx="63">
                        <c:v>7000</c:v>
                      </c:pt>
                      <c:pt idx="64">
                        <c:v>7000</c:v>
                      </c:pt>
                      <c:pt idx="65">
                        <c:v>7000</c:v>
                      </c:pt>
                      <c:pt idx="66">
                        <c:v>7000</c:v>
                      </c:pt>
                      <c:pt idx="67">
                        <c:v>7000</c:v>
                      </c:pt>
                      <c:pt idx="68">
                        <c:v>7000</c:v>
                      </c:pt>
                      <c:pt idx="69">
                        <c:v>7000</c:v>
                      </c:pt>
                      <c:pt idx="70">
                        <c:v>7000</c:v>
                      </c:pt>
                      <c:pt idx="71">
                        <c:v>7000</c:v>
                      </c:pt>
                      <c:pt idx="72">
                        <c:v>7000</c:v>
                      </c:pt>
                      <c:pt idx="73">
                        <c:v>7000</c:v>
                      </c:pt>
                      <c:pt idx="74">
                        <c:v>7000</c:v>
                      </c:pt>
                      <c:pt idx="75">
                        <c:v>7000</c:v>
                      </c:pt>
                      <c:pt idx="76">
                        <c:v>7000</c:v>
                      </c:pt>
                      <c:pt idx="77">
                        <c:v>7000</c:v>
                      </c:pt>
                      <c:pt idx="78">
                        <c:v>7000</c:v>
                      </c:pt>
                      <c:pt idx="79">
                        <c:v>7000</c:v>
                      </c:pt>
                      <c:pt idx="80">
                        <c:v>7000</c:v>
                      </c:pt>
                      <c:pt idx="81">
                        <c:v>7000</c:v>
                      </c:pt>
                      <c:pt idx="82">
                        <c:v>7000</c:v>
                      </c:pt>
                      <c:pt idx="83">
                        <c:v>7000</c:v>
                      </c:pt>
                      <c:pt idx="84">
                        <c:v>7000</c:v>
                      </c:pt>
                      <c:pt idx="85">
                        <c:v>7000</c:v>
                      </c:pt>
                      <c:pt idx="86">
                        <c:v>7000</c:v>
                      </c:pt>
                      <c:pt idx="87">
                        <c:v>7000</c:v>
                      </c:pt>
                      <c:pt idx="88">
                        <c:v>7000</c:v>
                      </c:pt>
                      <c:pt idx="89">
                        <c:v>7000</c:v>
                      </c:pt>
                      <c:pt idx="90">
                        <c:v>7000</c:v>
                      </c:pt>
                      <c:pt idx="91">
                        <c:v>7000</c:v>
                      </c:pt>
                      <c:pt idx="92">
                        <c:v>5200</c:v>
                      </c:pt>
                      <c:pt idx="93">
                        <c:v>5200</c:v>
                      </c:pt>
                      <c:pt idx="94">
                        <c:v>5200</c:v>
                      </c:pt>
                      <c:pt idx="95">
                        <c:v>5200</c:v>
                      </c:pt>
                      <c:pt idx="96">
                        <c:v>5200</c:v>
                      </c:pt>
                      <c:pt idx="97">
                        <c:v>5200</c:v>
                      </c:pt>
                      <c:pt idx="98">
                        <c:v>5200</c:v>
                      </c:pt>
                      <c:pt idx="99">
                        <c:v>5200</c:v>
                      </c:pt>
                      <c:pt idx="100">
                        <c:v>5200</c:v>
                      </c:pt>
                      <c:pt idx="101">
                        <c:v>5200</c:v>
                      </c:pt>
                      <c:pt idx="102">
                        <c:v>5200</c:v>
                      </c:pt>
                      <c:pt idx="103">
                        <c:v>5200</c:v>
                      </c:pt>
                      <c:pt idx="104">
                        <c:v>5200</c:v>
                      </c:pt>
                      <c:pt idx="105">
                        <c:v>5200</c:v>
                      </c:pt>
                      <c:pt idx="106">
                        <c:v>5200</c:v>
                      </c:pt>
                      <c:pt idx="107">
                        <c:v>5200</c:v>
                      </c:pt>
                      <c:pt idx="108">
                        <c:v>5200</c:v>
                      </c:pt>
                      <c:pt idx="109">
                        <c:v>5200</c:v>
                      </c:pt>
                      <c:pt idx="110">
                        <c:v>5200</c:v>
                      </c:pt>
                      <c:pt idx="111">
                        <c:v>5200</c:v>
                      </c:pt>
                      <c:pt idx="112">
                        <c:v>5200</c:v>
                      </c:pt>
                      <c:pt idx="113">
                        <c:v>5200</c:v>
                      </c:pt>
                      <c:pt idx="114">
                        <c:v>5200</c:v>
                      </c:pt>
                      <c:pt idx="115">
                        <c:v>5200</c:v>
                      </c:pt>
                      <c:pt idx="116">
                        <c:v>5200</c:v>
                      </c:pt>
                      <c:pt idx="117">
                        <c:v>5200</c:v>
                      </c:pt>
                      <c:pt idx="118">
                        <c:v>5200</c:v>
                      </c:pt>
                      <c:pt idx="119">
                        <c:v>5200</c:v>
                      </c:pt>
                      <c:pt idx="120">
                        <c:v>5200</c:v>
                      </c:pt>
                      <c:pt idx="121">
                        <c:v>5200</c:v>
                      </c:pt>
                      <c:pt idx="122">
                        <c:v>3250</c:v>
                      </c:pt>
                      <c:pt idx="123">
                        <c:v>3250</c:v>
                      </c:pt>
                      <c:pt idx="124">
                        <c:v>3250</c:v>
                      </c:pt>
                      <c:pt idx="125">
                        <c:v>3250</c:v>
                      </c:pt>
                      <c:pt idx="126">
                        <c:v>3250</c:v>
                      </c:pt>
                      <c:pt idx="127">
                        <c:v>3250</c:v>
                      </c:pt>
                      <c:pt idx="128">
                        <c:v>3250</c:v>
                      </c:pt>
                      <c:pt idx="129">
                        <c:v>3250</c:v>
                      </c:pt>
                      <c:pt idx="130">
                        <c:v>3250</c:v>
                      </c:pt>
                      <c:pt idx="131">
                        <c:v>3250</c:v>
                      </c:pt>
                      <c:pt idx="132">
                        <c:v>3250</c:v>
                      </c:pt>
                      <c:pt idx="133">
                        <c:v>3250</c:v>
                      </c:pt>
                      <c:pt idx="134">
                        <c:v>3250</c:v>
                      </c:pt>
                      <c:pt idx="135">
                        <c:v>3250</c:v>
                      </c:pt>
                      <c:pt idx="136">
                        <c:v>3250</c:v>
                      </c:pt>
                      <c:pt idx="137">
                        <c:v>3250</c:v>
                      </c:pt>
                      <c:pt idx="138">
                        <c:v>3250</c:v>
                      </c:pt>
                      <c:pt idx="139">
                        <c:v>3250</c:v>
                      </c:pt>
                      <c:pt idx="140">
                        <c:v>3250</c:v>
                      </c:pt>
                      <c:pt idx="141">
                        <c:v>3250</c:v>
                      </c:pt>
                      <c:pt idx="142">
                        <c:v>3250</c:v>
                      </c:pt>
                      <c:pt idx="143">
                        <c:v>3250</c:v>
                      </c:pt>
                      <c:pt idx="144">
                        <c:v>3250</c:v>
                      </c:pt>
                      <c:pt idx="145">
                        <c:v>3250</c:v>
                      </c:pt>
                      <c:pt idx="146">
                        <c:v>3250</c:v>
                      </c:pt>
                      <c:pt idx="147">
                        <c:v>3250</c:v>
                      </c:pt>
                      <c:pt idx="148">
                        <c:v>3250</c:v>
                      </c:pt>
                      <c:pt idx="149">
                        <c:v>3250</c:v>
                      </c:pt>
                      <c:pt idx="150">
                        <c:v>3250</c:v>
                      </c:pt>
                      <c:pt idx="151">
                        <c:v>3250</c:v>
                      </c:pt>
                      <c:pt idx="152">
                        <c:v>3250</c:v>
                      </c:pt>
                      <c:pt idx="153">
                        <c:v>3250</c:v>
                      </c:pt>
                      <c:pt idx="154">
                        <c:v>3250</c:v>
                      </c:pt>
                      <c:pt idx="155">
                        <c:v>3250</c:v>
                      </c:pt>
                      <c:pt idx="156">
                        <c:v>3250</c:v>
                      </c:pt>
                      <c:pt idx="157">
                        <c:v>3250</c:v>
                      </c:pt>
                      <c:pt idx="158">
                        <c:v>3250</c:v>
                      </c:pt>
                      <c:pt idx="159">
                        <c:v>3250</c:v>
                      </c:pt>
                      <c:pt idx="160">
                        <c:v>3250</c:v>
                      </c:pt>
                      <c:pt idx="161">
                        <c:v>3250</c:v>
                      </c:pt>
                      <c:pt idx="162">
                        <c:v>3250</c:v>
                      </c:pt>
                      <c:pt idx="163">
                        <c:v>3250</c:v>
                      </c:pt>
                      <c:pt idx="164">
                        <c:v>3250</c:v>
                      </c:pt>
                      <c:pt idx="165">
                        <c:v>3250</c:v>
                      </c:pt>
                      <c:pt idx="166">
                        <c:v>3250</c:v>
                      </c:pt>
                      <c:pt idx="167">
                        <c:v>3250</c:v>
                      </c:pt>
                      <c:pt idx="168">
                        <c:v>3250</c:v>
                      </c:pt>
                      <c:pt idx="169">
                        <c:v>3250</c:v>
                      </c:pt>
                      <c:pt idx="170">
                        <c:v>3250</c:v>
                      </c:pt>
                      <c:pt idx="171">
                        <c:v>3250</c:v>
                      </c:pt>
                      <c:pt idx="172">
                        <c:v>3250</c:v>
                      </c:pt>
                      <c:pt idx="173">
                        <c:v>3250</c:v>
                      </c:pt>
                      <c:pt idx="174">
                        <c:v>3250</c:v>
                      </c:pt>
                      <c:pt idx="175">
                        <c:v>3250</c:v>
                      </c:pt>
                      <c:pt idx="176">
                        <c:v>3250</c:v>
                      </c:pt>
                      <c:pt idx="177">
                        <c:v>3250</c:v>
                      </c:pt>
                      <c:pt idx="178">
                        <c:v>3250</c:v>
                      </c:pt>
                      <c:pt idx="179">
                        <c:v>3250</c:v>
                      </c:pt>
                      <c:pt idx="180">
                        <c:v>3250</c:v>
                      </c:pt>
                      <c:pt idx="181">
                        <c:v>3250</c:v>
                      </c:pt>
                      <c:pt idx="182">
                        <c:v>3250</c:v>
                      </c:pt>
                      <c:pt idx="183">
                        <c:v>3250</c:v>
                      </c:pt>
                      <c:pt idx="184">
                        <c:v>3500</c:v>
                      </c:pt>
                      <c:pt idx="185">
                        <c:v>3500</c:v>
                      </c:pt>
                      <c:pt idx="186">
                        <c:v>3500</c:v>
                      </c:pt>
                      <c:pt idx="187">
                        <c:v>3500</c:v>
                      </c:pt>
                      <c:pt idx="188">
                        <c:v>3500</c:v>
                      </c:pt>
                      <c:pt idx="189">
                        <c:v>3500</c:v>
                      </c:pt>
                      <c:pt idx="190">
                        <c:v>3500</c:v>
                      </c:pt>
                      <c:pt idx="191">
                        <c:v>3500</c:v>
                      </c:pt>
                      <c:pt idx="192">
                        <c:v>3500</c:v>
                      </c:pt>
                      <c:pt idx="193">
                        <c:v>3500</c:v>
                      </c:pt>
                      <c:pt idx="194">
                        <c:v>3500</c:v>
                      </c:pt>
                      <c:pt idx="195">
                        <c:v>3500</c:v>
                      </c:pt>
                      <c:pt idx="196">
                        <c:v>3500</c:v>
                      </c:pt>
                      <c:pt idx="197">
                        <c:v>3500</c:v>
                      </c:pt>
                      <c:pt idx="198">
                        <c:v>3500</c:v>
                      </c:pt>
                      <c:pt idx="199">
                        <c:v>3500</c:v>
                      </c:pt>
                      <c:pt idx="200">
                        <c:v>3500</c:v>
                      </c:pt>
                      <c:pt idx="201">
                        <c:v>3500</c:v>
                      </c:pt>
                      <c:pt idx="202">
                        <c:v>3500</c:v>
                      </c:pt>
                      <c:pt idx="203">
                        <c:v>3500</c:v>
                      </c:pt>
                      <c:pt idx="204">
                        <c:v>3500</c:v>
                      </c:pt>
                      <c:pt idx="205">
                        <c:v>3500</c:v>
                      </c:pt>
                      <c:pt idx="206">
                        <c:v>3500</c:v>
                      </c:pt>
                      <c:pt idx="207">
                        <c:v>3500</c:v>
                      </c:pt>
                      <c:pt idx="208">
                        <c:v>3500</c:v>
                      </c:pt>
                      <c:pt idx="209">
                        <c:v>3500</c:v>
                      </c:pt>
                      <c:pt idx="210">
                        <c:v>3500</c:v>
                      </c:pt>
                      <c:pt idx="211">
                        <c:v>3500</c:v>
                      </c:pt>
                    </c:numCache>
                  </c:numRef>
                </c:yVal>
                <c:smooth val="1"/>
                <c:extLst>
                  <c:ext xmlns:c16="http://schemas.microsoft.com/office/drawing/2014/chart" uri="{C3380CC4-5D6E-409C-BE32-E72D297353CC}">
                    <c16:uniqueId val="{00000001-CF8D-4DA3-B88B-3699E3D10B95}"/>
                  </c:ext>
                </c:extLst>
              </c15:ser>
            </c15:filteredScatterSeries>
            <c15:filteredScatterSeries>
              <c15:ser>
                <c:idx val="3"/>
                <c:order val="2"/>
                <c:tx>
                  <c:strRef>
                    <c:extLst xmlns:c15="http://schemas.microsoft.com/office/drawing/2012/chart">
                      <c:ext xmlns:c15="http://schemas.microsoft.com/office/drawing/2012/chart" uri="{02D57815-91ED-43cb-92C2-25804820EDAC}">
                        <c15:formulaRef>
                          <c15:sqref>'Keswick Flow Alternatives'!$D$2</c15:sqref>
                        </c15:formulaRef>
                      </c:ext>
                    </c:extLst>
                    <c:strCache>
                      <c:ptCount val="1"/>
                      <c:pt idx="0">
                        <c:v>B1</c:v>
                      </c:pt>
                    </c:strCache>
                  </c:strRef>
                </c:tx>
                <c:spPr>
                  <a:ln w="19050" cap="rnd">
                    <a:solidFill>
                      <a:srgbClr val="00B050"/>
                    </a:solidFill>
                    <a:round/>
                  </a:ln>
                  <a:effectLst/>
                </c:spPr>
                <c:marker>
                  <c:symbol val="none"/>
                </c:marker>
                <c:xVal>
                  <c:numRef>
                    <c:extLst xmlns:c15="http://schemas.microsoft.com/office/drawing/2012/chart">
                      <c:ext xmlns:c15="http://schemas.microsoft.com/office/drawing/2012/chart" uri="{02D57815-91ED-43cb-92C2-25804820EDAC}">
                        <c15:formulaRef>
                          <c15:sqref>'Keswick Flow Alternatives'!$A$3:$A$215</c15:sqref>
                        </c15:formulaRef>
                      </c:ext>
                    </c:extLst>
                    <c:numCache>
                      <c:formatCode>[$-F800]dddd\,\ mmmm\ dd\,\ yyyy</c:formatCode>
                      <c:ptCount val="213"/>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numRef>
                </c:xVal>
                <c:yVal>
                  <c:numRef>
                    <c:extLst xmlns:c15="http://schemas.microsoft.com/office/drawing/2012/chart">
                      <c:ext xmlns:c15="http://schemas.microsoft.com/office/drawing/2012/chart" uri="{02D57815-91ED-43cb-92C2-25804820EDAC}">
                        <c15:formulaRef>
                          <c15:sqref>'Keswick Flow Alternatives'!$D$3:$D$215</c15:sqref>
                        </c15:formulaRef>
                      </c:ext>
                    </c:extLst>
                    <c:numCache>
                      <c:formatCode>General</c:formatCode>
                      <c:ptCount val="213"/>
                      <c:pt idx="31">
                        <c:v>7100</c:v>
                      </c:pt>
                      <c:pt idx="32">
                        <c:v>7100</c:v>
                      </c:pt>
                      <c:pt idx="33">
                        <c:v>7100</c:v>
                      </c:pt>
                      <c:pt idx="34">
                        <c:v>7100</c:v>
                      </c:pt>
                      <c:pt idx="35">
                        <c:v>7100</c:v>
                      </c:pt>
                      <c:pt idx="36">
                        <c:v>7100</c:v>
                      </c:pt>
                      <c:pt idx="37">
                        <c:v>7100</c:v>
                      </c:pt>
                      <c:pt idx="38">
                        <c:v>7100</c:v>
                      </c:pt>
                      <c:pt idx="39">
                        <c:v>7100</c:v>
                      </c:pt>
                      <c:pt idx="40">
                        <c:v>7100</c:v>
                      </c:pt>
                      <c:pt idx="41">
                        <c:v>7100</c:v>
                      </c:pt>
                      <c:pt idx="42">
                        <c:v>7100</c:v>
                      </c:pt>
                      <c:pt idx="43">
                        <c:v>7100</c:v>
                      </c:pt>
                      <c:pt idx="44">
                        <c:v>7100</c:v>
                      </c:pt>
                      <c:pt idx="45">
                        <c:v>7100</c:v>
                      </c:pt>
                      <c:pt idx="46">
                        <c:v>7100</c:v>
                      </c:pt>
                      <c:pt idx="47">
                        <c:v>7100</c:v>
                      </c:pt>
                      <c:pt idx="48">
                        <c:v>7100</c:v>
                      </c:pt>
                      <c:pt idx="49">
                        <c:v>7100</c:v>
                      </c:pt>
                      <c:pt idx="50">
                        <c:v>7100</c:v>
                      </c:pt>
                      <c:pt idx="51">
                        <c:v>7100</c:v>
                      </c:pt>
                      <c:pt idx="52">
                        <c:v>7100</c:v>
                      </c:pt>
                      <c:pt idx="53">
                        <c:v>7100</c:v>
                      </c:pt>
                      <c:pt idx="54">
                        <c:v>7100</c:v>
                      </c:pt>
                      <c:pt idx="55">
                        <c:v>7100</c:v>
                      </c:pt>
                      <c:pt idx="56">
                        <c:v>7100</c:v>
                      </c:pt>
                      <c:pt idx="57">
                        <c:v>7100</c:v>
                      </c:pt>
                      <c:pt idx="58">
                        <c:v>7100</c:v>
                      </c:pt>
                      <c:pt idx="59">
                        <c:v>7100</c:v>
                      </c:pt>
                      <c:pt idx="60">
                        <c:v>7100</c:v>
                      </c:pt>
                      <c:pt idx="61">
                        <c:v>7000</c:v>
                      </c:pt>
                      <c:pt idx="62">
                        <c:v>7000</c:v>
                      </c:pt>
                      <c:pt idx="63">
                        <c:v>7000</c:v>
                      </c:pt>
                      <c:pt idx="64">
                        <c:v>7000</c:v>
                      </c:pt>
                      <c:pt idx="65">
                        <c:v>7000</c:v>
                      </c:pt>
                      <c:pt idx="66">
                        <c:v>7000</c:v>
                      </c:pt>
                      <c:pt idx="67">
                        <c:v>7000</c:v>
                      </c:pt>
                      <c:pt idx="68">
                        <c:v>7000</c:v>
                      </c:pt>
                      <c:pt idx="69">
                        <c:v>7000</c:v>
                      </c:pt>
                      <c:pt idx="70">
                        <c:v>7000</c:v>
                      </c:pt>
                      <c:pt idx="71">
                        <c:v>7000</c:v>
                      </c:pt>
                      <c:pt idx="72">
                        <c:v>7000</c:v>
                      </c:pt>
                      <c:pt idx="73">
                        <c:v>7000</c:v>
                      </c:pt>
                      <c:pt idx="74">
                        <c:v>7000</c:v>
                      </c:pt>
                      <c:pt idx="75">
                        <c:v>7000</c:v>
                      </c:pt>
                      <c:pt idx="76">
                        <c:v>7000</c:v>
                      </c:pt>
                      <c:pt idx="77">
                        <c:v>7000</c:v>
                      </c:pt>
                      <c:pt idx="78">
                        <c:v>7000</c:v>
                      </c:pt>
                      <c:pt idx="79">
                        <c:v>7000</c:v>
                      </c:pt>
                      <c:pt idx="80">
                        <c:v>7000</c:v>
                      </c:pt>
                      <c:pt idx="81">
                        <c:v>7000</c:v>
                      </c:pt>
                      <c:pt idx="82">
                        <c:v>7000</c:v>
                      </c:pt>
                      <c:pt idx="83">
                        <c:v>7000</c:v>
                      </c:pt>
                      <c:pt idx="84">
                        <c:v>7000</c:v>
                      </c:pt>
                      <c:pt idx="85">
                        <c:v>7000</c:v>
                      </c:pt>
                      <c:pt idx="86">
                        <c:v>7000</c:v>
                      </c:pt>
                      <c:pt idx="87">
                        <c:v>7000</c:v>
                      </c:pt>
                      <c:pt idx="88">
                        <c:v>7000</c:v>
                      </c:pt>
                      <c:pt idx="89">
                        <c:v>7000</c:v>
                      </c:pt>
                      <c:pt idx="90">
                        <c:v>7000</c:v>
                      </c:pt>
                      <c:pt idx="91">
                        <c:v>7000</c:v>
                      </c:pt>
                      <c:pt idx="92">
                        <c:v>4100</c:v>
                      </c:pt>
                      <c:pt idx="93">
                        <c:v>4100</c:v>
                      </c:pt>
                      <c:pt idx="94">
                        <c:v>4100</c:v>
                      </c:pt>
                      <c:pt idx="95">
                        <c:v>4100</c:v>
                      </c:pt>
                      <c:pt idx="96">
                        <c:v>4100</c:v>
                      </c:pt>
                      <c:pt idx="97">
                        <c:v>4100</c:v>
                      </c:pt>
                      <c:pt idx="98">
                        <c:v>4100</c:v>
                      </c:pt>
                      <c:pt idx="99">
                        <c:v>4100</c:v>
                      </c:pt>
                      <c:pt idx="100">
                        <c:v>4100</c:v>
                      </c:pt>
                      <c:pt idx="101">
                        <c:v>4100</c:v>
                      </c:pt>
                      <c:pt idx="102">
                        <c:v>4100</c:v>
                      </c:pt>
                      <c:pt idx="103">
                        <c:v>4100</c:v>
                      </c:pt>
                      <c:pt idx="104">
                        <c:v>4100</c:v>
                      </c:pt>
                      <c:pt idx="105">
                        <c:v>4100</c:v>
                      </c:pt>
                      <c:pt idx="106">
                        <c:v>4100</c:v>
                      </c:pt>
                      <c:pt idx="107">
                        <c:v>4100</c:v>
                      </c:pt>
                      <c:pt idx="108">
                        <c:v>4100</c:v>
                      </c:pt>
                      <c:pt idx="109">
                        <c:v>4100</c:v>
                      </c:pt>
                      <c:pt idx="110">
                        <c:v>4100</c:v>
                      </c:pt>
                      <c:pt idx="111">
                        <c:v>4100</c:v>
                      </c:pt>
                      <c:pt idx="112">
                        <c:v>4100</c:v>
                      </c:pt>
                      <c:pt idx="113">
                        <c:v>4100</c:v>
                      </c:pt>
                      <c:pt idx="114">
                        <c:v>4100</c:v>
                      </c:pt>
                      <c:pt idx="115">
                        <c:v>4100</c:v>
                      </c:pt>
                      <c:pt idx="116">
                        <c:v>4100</c:v>
                      </c:pt>
                      <c:pt idx="117">
                        <c:v>4100</c:v>
                      </c:pt>
                      <c:pt idx="118">
                        <c:v>4100</c:v>
                      </c:pt>
                      <c:pt idx="119">
                        <c:v>4100</c:v>
                      </c:pt>
                      <c:pt idx="120">
                        <c:v>4100</c:v>
                      </c:pt>
                      <c:pt idx="121">
                        <c:v>4100</c:v>
                      </c:pt>
                      <c:pt idx="122">
                        <c:v>3250</c:v>
                      </c:pt>
                      <c:pt idx="123">
                        <c:v>3250</c:v>
                      </c:pt>
                      <c:pt idx="124">
                        <c:v>3250</c:v>
                      </c:pt>
                      <c:pt idx="125">
                        <c:v>3250</c:v>
                      </c:pt>
                      <c:pt idx="126">
                        <c:v>3250</c:v>
                      </c:pt>
                      <c:pt idx="127">
                        <c:v>3250</c:v>
                      </c:pt>
                      <c:pt idx="128">
                        <c:v>3250</c:v>
                      </c:pt>
                      <c:pt idx="129">
                        <c:v>3250</c:v>
                      </c:pt>
                      <c:pt idx="130">
                        <c:v>3250</c:v>
                      </c:pt>
                      <c:pt idx="131">
                        <c:v>3250</c:v>
                      </c:pt>
                      <c:pt idx="132">
                        <c:v>3250</c:v>
                      </c:pt>
                      <c:pt idx="133">
                        <c:v>3250</c:v>
                      </c:pt>
                      <c:pt idx="134">
                        <c:v>3250</c:v>
                      </c:pt>
                      <c:pt idx="135">
                        <c:v>3250</c:v>
                      </c:pt>
                      <c:pt idx="136">
                        <c:v>3250</c:v>
                      </c:pt>
                      <c:pt idx="137">
                        <c:v>3250</c:v>
                      </c:pt>
                      <c:pt idx="138">
                        <c:v>3250</c:v>
                      </c:pt>
                      <c:pt idx="139">
                        <c:v>3250</c:v>
                      </c:pt>
                      <c:pt idx="140">
                        <c:v>3250</c:v>
                      </c:pt>
                      <c:pt idx="141">
                        <c:v>3250</c:v>
                      </c:pt>
                      <c:pt idx="142">
                        <c:v>3250</c:v>
                      </c:pt>
                      <c:pt idx="143">
                        <c:v>3250</c:v>
                      </c:pt>
                      <c:pt idx="144">
                        <c:v>3250</c:v>
                      </c:pt>
                      <c:pt idx="145">
                        <c:v>3250</c:v>
                      </c:pt>
                      <c:pt idx="146">
                        <c:v>3250</c:v>
                      </c:pt>
                      <c:pt idx="147">
                        <c:v>3250</c:v>
                      </c:pt>
                      <c:pt idx="148">
                        <c:v>3250</c:v>
                      </c:pt>
                      <c:pt idx="149">
                        <c:v>3250</c:v>
                      </c:pt>
                      <c:pt idx="150">
                        <c:v>3250</c:v>
                      </c:pt>
                      <c:pt idx="151">
                        <c:v>3250</c:v>
                      </c:pt>
                      <c:pt idx="152">
                        <c:v>3250</c:v>
                      </c:pt>
                      <c:pt idx="153">
                        <c:v>3250</c:v>
                      </c:pt>
                      <c:pt idx="154">
                        <c:v>3250</c:v>
                      </c:pt>
                      <c:pt idx="155">
                        <c:v>3250</c:v>
                      </c:pt>
                      <c:pt idx="156">
                        <c:v>3250</c:v>
                      </c:pt>
                      <c:pt idx="157">
                        <c:v>3250</c:v>
                      </c:pt>
                      <c:pt idx="158">
                        <c:v>3250</c:v>
                      </c:pt>
                      <c:pt idx="159">
                        <c:v>3250</c:v>
                      </c:pt>
                      <c:pt idx="160">
                        <c:v>3250</c:v>
                      </c:pt>
                      <c:pt idx="161">
                        <c:v>3250</c:v>
                      </c:pt>
                      <c:pt idx="162">
                        <c:v>3250</c:v>
                      </c:pt>
                      <c:pt idx="163">
                        <c:v>3250</c:v>
                      </c:pt>
                      <c:pt idx="164">
                        <c:v>3250</c:v>
                      </c:pt>
                      <c:pt idx="165">
                        <c:v>3250</c:v>
                      </c:pt>
                      <c:pt idx="166">
                        <c:v>3250</c:v>
                      </c:pt>
                      <c:pt idx="167">
                        <c:v>3250</c:v>
                      </c:pt>
                      <c:pt idx="168">
                        <c:v>3250</c:v>
                      </c:pt>
                      <c:pt idx="169">
                        <c:v>3250</c:v>
                      </c:pt>
                      <c:pt idx="170">
                        <c:v>3250</c:v>
                      </c:pt>
                      <c:pt idx="171">
                        <c:v>3250</c:v>
                      </c:pt>
                      <c:pt idx="172">
                        <c:v>3250</c:v>
                      </c:pt>
                      <c:pt idx="173">
                        <c:v>3250</c:v>
                      </c:pt>
                      <c:pt idx="174">
                        <c:v>3250</c:v>
                      </c:pt>
                      <c:pt idx="175">
                        <c:v>3250</c:v>
                      </c:pt>
                      <c:pt idx="176">
                        <c:v>3250</c:v>
                      </c:pt>
                      <c:pt idx="177">
                        <c:v>3250</c:v>
                      </c:pt>
                      <c:pt idx="178">
                        <c:v>3250</c:v>
                      </c:pt>
                      <c:pt idx="179">
                        <c:v>3250</c:v>
                      </c:pt>
                      <c:pt idx="180">
                        <c:v>3250</c:v>
                      </c:pt>
                      <c:pt idx="181">
                        <c:v>3250</c:v>
                      </c:pt>
                      <c:pt idx="182">
                        <c:v>3250</c:v>
                      </c:pt>
                      <c:pt idx="183">
                        <c:v>3250</c:v>
                      </c:pt>
                      <c:pt idx="184">
                        <c:v>3250</c:v>
                      </c:pt>
                      <c:pt idx="185">
                        <c:v>3250</c:v>
                      </c:pt>
                      <c:pt idx="186">
                        <c:v>3250</c:v>
                      </c:pt>
                      <c:pt idx="187">
                        <c:v>3250</c:v>
                      </c:pt>
                      <c:pt idx="188">
                        <c:v>3250</c:v>
                      </c:pt>
                      <c:pt idx="189">
                        <c:v>3250</c:v>
                      </c:pt>
                      <c:pt idx="190">
                        <c:v>3250</c:v>
                      </c:pt>
                      <c:pt idx="191">
                        <c:v>3250</c:v>
                      </c:pt>
                      <c:pt idx="192">
                        <c:v>3250</c:v>
                      </c:pt>
                      <c:pt idx="193">
                        <c:v>3250</c:v>
                      </c:pt>
                      <c:pt idx="194">
                        <c:v>3250</c:v>
                      </c:pt>
                      <c:pt idx="195">
                        <c:v>3250</c:v>
                      </c:pt>
                      <c:pt idx="196">
                        <c:v>3250</c:v>
                      </c:pt>
                      <c:pt idx="197">
                        <c:v>3250</c:v>
                      </c:pt>
                      <c:pt idx="198">
                        <c:v>3250</c:v>
                      </c:pt>
                      <c:pt idx="199">
                        <c:v>3250</c:v>
                      </c:pt>
                      <c:pt idx="200">
                        <c:v>3250</c:v>
                      </c:pt>
                      <c:pt idx="201">
                        <c:v>3250</c:v>
                      </c:pt>
                      <c:pt idx="202">
                        <c:v>3250</c:v>
                      </c:pt>
                      <c:pt idx="203">
                        <c:v>3250</c:v>
                      </c:pt>
                      <c:pt idx="204">
                        <c:v>3250</c:v>
                      </c:pt>
                      <c:pt idx="205">
                        <c:v>3250</c:v>
                      </c:pt>
                      <c:pt idx="206">
                        <c:v>3250</c:v>
                      </c:pt>
                      <c:pt idx="207">
                        <c:v>3250</c:v>
                      </c:pt>
                      <c:pt idx="208">
                        <c:v>3250</c:v>
                      </c:pt>
                      <c:pt idx="209">
                        <c:v>3250</c:v>
                      </c:pt>
                      <c:pt idx="210">
                        <c:v>3250</c:v>
                      </c:pt>
                      <c:pt idx="211">
                        <c:v>3250</c:v>
                      </c:pt>
                    </c:numCache>
                  </c:numRef>
                </c:yVal>
                <c:smooth val="1"/>
                <c:extLst xmlns:c15="http://schemas.microsoft.com/office/drawing/2012/chart">
                  <c:ext xmlns:c16="http://schemas.microsoft.com/office/drawing/2014/chart" uri="{C3380CC4-5D6E-409C-BE32-E72D297353CC}">
                    <c16:uniqueId val="{00000002-CF8D-4DA3-B88B-3699E3D10B95}"/>
                  </c:ext>
                </c:extLst>
              </c15:ser>
            </c15:filteredScatterSeries>
            <c15:filteredScatterSeries>
              <c15:ser>
                <c:idx val="4"/>
                <c:order val="3"/>
                <c:tx>
                  <c:strRef>
                    <c:extLst xmlns:c15="http://schemas.microsoft.com/office/drawing/2012/chart">
                      <c:ext xmlns:c15="http://schemas.microsoft.com/office/drawing/2012/chart" uri="{02D57815-91ED-43cb-92C2-25804820EDAC}">
                        <c15:formulaRef>
                          <c15:sqref>'Keswick Flow Alternatives'!$E$2</c15:sqref>
                        </c15:formulaRef>
                      </c:ext>
                    </c:extLst>
                    <c:strCache>
                      <c:ptCount val="1"/>
                      <c:pt idx="0">
                        <c:v>A2</c:v>
                      </c:pt>
                    </c:strCache>
                  </c:strRef>
                </c:tx>
                <c:spPr>
                  <a:ln w="25400" cap="rnd">
                    <a:solidFill>
                      <a:schemeClr val="accent2"/>
                    </a:solidFill>
                    <a:round/>
                  </a:ln>
                  <a:effectLst/>
                </c:spPr>
                <c:marker>
                  <c:symbol val="none"/>
                </c:marker>
                <c:xVal>
                  <c:numRef>
                    <c:extLst xmlns:c15="http://schemas.microsoft.com/office/drawing/2012/chart">
                      <c:ext xmlns:c15="http://schemas.microsoft.com/office/drawing/2012/chart" uri="{02D57815-91ED-43cb-92C2-25804820EDAC}">
                        <c15:formulaRef>
                          <c15:sqref>'Keswick Flow Alternatives'!$A$3:$A$215</c15:sqref>
                        </c15:formulaRef>
                      </c:ext>
                    </c:extLst>
                    <c:numCache>
                      <c:formatCode>[$-F800]dddd\,\ mmmm\ dd\,\ yyyy</c:formatCode>
                      <c:ptCount val="213"/>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numRef>
                </c:xVal>
                <c:yVal>
                  <c:numRef>
                    <c:extLst xmlns:c15="http://schemas.microsoft.com/office/drawing/2012/chart">
                      <c:ext xmlns:c15="http://schemas.microsoft.com/office/drawing/2012/chart" uri="{02D57815-91ED-43cb-92C2-25804820EDAC}">
                        <c15:formulaRef>
                          <c15:sqref>'Keswick Flow Alternatives'!$E$3:$E$215</c15:sqref>
                        </c15:formulaRef>
                      </c:ext>
                    </c:extLst>
                    <c:numCache>
                      <c:formatCode>General</c:formatCode>
                      <c:ptCount val="213"/>
                      <c:pt idx="31">
                        <c:v>8000</c:v>
                      </c:pt>
                      <c:pt idx="32">
                        <c:v>8000</c:v>
                      </c:pt>
                      <c:pt idx="33">
                        <c:v>8000</c:v>
                      </c:pt>
                      <c:pt idx="34">
                        <c:v>8000</c:v>
                      </c:pt>
                      <c:pt idx="35">
                        <c:v>8000</c:v>
                      </c:pt>
                      <c:pt idx="36">
                        <c:v>8000</c:v>
                      </c:pt>
                      <c:pt idx="37">
                        <c:v>8000</c:v>
                      </c:pt>
                      <c:pt idx="38">
                        <c:v>8000</c:v>
                      </c:pt>
                      <c:pt idx="39">
                        <c:v>8000</c:v>
                      </c:pt>
                      <c:pt idx="40">
                        <c:v>8000</c:v>
                      </c:pt>
                      <c:pt idx="41">
                        <c:v>8000</c:v>
                      </c:pt>
                      <c:pt idx="42">
                        <c:v>8000</c:v>
                      </c:pt>
                      <c:pt idx="43">
                        <c:v>8000</c:v>
                      </c:pt>
                      <c:pt idx="44">
                        <c:v>8000</c:v>
                      </c:pt>
                      <c:pt idx="45">
                        <c:v>8000</c:v>
                      </c:pt>
                      <c:pt idx="46">
                        <c:v>8000</c:v>
                      </c:pt>
                      <c:pt idx="47">
                        <c:v>8000</c:v>
                      </c:pt>
                      <c:pt idx="48">
                        <c:v>8000</c:v>
                      </c:pt>
                      <c:pt idx="49">
                        <c:v>8000</c:v>
                      </c:pt>
                      <c:pt idx="50">
                        <c:v>8000</c:v>
                      </c:pt>
                      <c:pt idx="51">
                        <c:v>8000</c:v>
                      </c:pt>
                      <c:pt idx="52">
                        <c:v>8000</c:v>
                      </c:pt>
                      <c:pt idx="53">
                        <c:v>8000</c:v>
                      </c:pt>
                      <c:pt idx="54">
                        <c:v>8000</c:v>
                      </c:pt>
                      <c:pt idx="55">
                        <c:v>8000</c:v>
                      </c:pt>
                      <c:pt idx="56">
                        <c:v>8000</c:v>
                      </c:pt>
                      <c:pt idx="57">
                        <c:v>8000</c:v>
                      </c:pt>
                      <c:pt idx="58">
                        <c:v>8000</c:v>
                      </c:pt>
                      <c:pt idx="59">
                        <c:v>8000</c:v>
                      </c:pt>
                      <c:pt idx="60">
                        <c:v>8000</c:v>
                      </c:pt>
                      <c:pt idx="61" formatCode="#,##0">
                        <c:v>6500</c:v>
                      </c:pt>
                      <c:pt idx="62" formatCode="#,##0">
                        <c:v>6500</c:v>
                      </c:pt>
                      <c:pt idx="63" formatCode="#,##0">
                        <c:v>6500</c:v>
                      </c:pt>
                      <c:pt idx="64" formatCode="#,##0">
                        <c:v>6500</c:v>
                      </c:pt>
                      <c:pt idx="65" formatCode="#,##0">
                        <c:v>6500</c:v>
                      </c:pt>
                      <c:pt idx="66" formatCode="#,##0">
                        <c:v>6500</c:v>
                      </c:pt>
                      <c:pt idx="67" formatCode="#,##0">
                        <c:v>6500</c:v>
                      </c:pt>
                      <c:pt idx="68" formatCode="#,##0">
                        <c:v>6500</c:v>
                      </c:pt>
                      <c:pt idx="69" formatCode="#,##0">
                        <c:v>6500</c:v>
                      </c:pt>
                      <c:pt idx="70" formatCode="#,##0">
                        <c:v>6500</c:v>
                      </c:pt>
                      <c:pt idx="71" formatCode="#,##0">
                        <c:v>6500</c:v>
                      </c:pt>
                      <c:pt idx="72" formatCode="#,##0">
                        <c:v>6500</c:v>
                      </c:pt>
                      <c:pt idx="73" formatCode="#,##0">
                        <c:v>6500</c:v>
                      </c:pt>
                      <c:pt idx="74" formatCode="#,##0">
                        <c:v>6500</c:v>
                      </c:pt>
                      <c:pt idx="75" formatCode="#,##0">
                        <c:v>6500</c:v>
                      </c:pt>
                      <c:pt idx="76" formatCode="#,##0">
                        <c:v>6500</c:v>
                      </c:pt>
                      <c:pt idx="77" formatCode="#,##0">
                        <c:v>6500</c:v>
                      </c:pt>
                      <c:pt idx="78" formatCode="#,##0">
                        <c:v>6500</c:v>
                      </c:pt>
                      <c:pt idx="79" formatCode="#,##0">
                        <c:v>6500</c:v>
                      </c:pt>
                      <c:pt idx="80" formatCode="#,##0">
                        <c:v>6500</c:v>
                      </c:pt>
                      <c:pt idx="81" formatCode="#,##0">
                        <c:v>6500</c:v>
                      </c:pt>
                      <c:pt idx="82" formatCode="#,##0">
                        <c:v>6500</c:v>
                      </c:pt>
                      <c:pt idx="83" formatCode="#,##0">
                        <c:v>6500</c:v>
                      </c:pt>
                      <c:pt idx="84" formatCode="#,##0">
                        <c:v>6500</c:v>
                      </c:pt>
                      <c:pt idx="85" formatCode="#,##0">
                        <c:v>6500</c:v>
                      </c:pt>
                      <c:pt idx="86" formatCode="#,##0">
                        <c:v>6500</c:v>
                      </c:pt>
                      <c:pt idx="87" formatCode="#,##0">
                        <c:v>6500</c:v>
                      </c:pt>
                      <c:pt idx="88" formatCode="#,##0">
                        <c:v>6500</c:v>
                      </c:pt>
                      <c:pt idx="89" formatCode="#,##0">
                        <c:v>6500</c:v>
                      </c:pt>
                      <c:pt idx="90" formatCode="#,##0">
                        <c:v>6500</c:v>
                      </c:pt>
                      <c:pt idx="91" formatCode="#,##0">
                        <c:v>6500</c:v>
                      </c:pt>
                      <c:pt idx="92" formatCode="#,##0">
                        <c:v>5200</c:v>
                      </c:pt>
                      <c:pt idx="93" formatCode="#,##0">
                        <c:v>5200</c:v>
                      </c:pt>
                      <c:pt idx="94" formatCode="#,##0">
                        <c:v>5200</c:v>
                      </c:pt>
                      <c:pt idx="95" formatCode="#,##0">
                        <c:v>5200</c:v>
                      </c:pt>
                      <c:pt idx="96" formatCode="#,##0">
                        <c:v>5200</c:v>
                      </c:pt>
                      <c:pt idx="97" formatCode="#,##0">
                        <c:v>5200</c:v>
                      </c:pt>
                      <c:pt idx="98" formatCode="#,##0">
                        <c:v>5200</c:v>
                      </c:pt>
                      <c:pt idx="99" formatCode="#,##0">
                        <c:v>5200</c:v>
                      </c:pt>
                      <c:pt idx="100" formatCode="#,##0">
                        <c:v>5200</c:v>
                      </c:pt>
                      <c:pt idx="101" formatCode="#,##0">
                        <c:v>5200</c:v>
                      </c:pt>
                      <c:pt idx="102" formatCode="#,##0">
                        <c:v>5200</c:v>
                      </c:pt>
                      <c:pt idx="103" formatCode="#,##0">
                        <c:v>5200</c:v>
                      </c:pt>
                      <c:pt idx="104" formatCode="#,##0">
                        <c:v>5200</c:v>
                      </c:pt>
                      <c:pt idx="105" formatCode="#,##0">
                        <c:v>5200</c:v>
                      </c:pt>
                      <c:pt idx="106" formatCode="#,##0">
                        <c:v>5200</c:v>
                      </c:pt>
                      <c:pt idx="107" formatCode="#,##0">
                        <c:v>5200</c:v>
                      </c:pt>
                      <c:pt idx="108" formatCode="#,##0">
                        <c:v>5200</c:v>
                      </c:pt>
                      <c:pt idx="109" formatCode="#,##0">
                        <c:v>5200</c:v>
                      </c:pt>
                      <c:pt idx="110" formatCode="#,##0">
                        <c:v>5200</c:v>
                      </c:pt>
                      <c:pt idx="111" formatCode="#,##0">
                        <c:v>5200</c:v>
                      </c:pt>
                      <c:pt idx="112" formatCode="#,##0">
                        <c:v>5200</c:v>
                      </c:pt>
                      <c:pt idx="113" formatCode="#,##0">
                        <c:v>5200</c:v>
                      </c:pt>
                      <c:pt idx="114" formatCode="#,##0">
                        <c:v>5200</c:v>
                      </c:pt>
                      <c:pt idx="115" formatCode="#,##0">
                        <c:v>5200</c:v>
                      </c:pt>
                      <c:pt idx="116" formatCode="#,##0">
                        <c:v>5200</c:v>
                      </c:pt>
                      <c:pt idx="117" formatCode="#,##0">
                        <c:v>5200</c:v>
                      </c:pt>
                      <c:pt idx="118" formatCode="#,##0">
                        <c:v>5200</c:v>
                      </c:pt>
                      <c:pt idx="119" formatCode="#,##0">
                        <c:v>5200</c:v>
                      </c:pt>
                      <c:pt idx="120" formatCode="#,##0">
                        <c:v>5200</c:v>
                      </c:pt>
                      <c:pt idx="121" formatCode="#,##0">
                        <c:v>5200</c:v>
                      </c:pt>
                      <c:pt idx="122" formatCode="#,##0">
                        <c:v>3250</c:v>
                      </c:pt>
                      <c:pt idx="123" formatCode="#,##0">
                        <c:v>3250</c:v>
                      </c:pt>
                      <c:pt idx="124" formatCode="#,##0">
                        <c:v>3250</c:v>
                      </c:pt>
                      <c:pt idx="125" formatCode="#,##0">
                        <c:v>3250</c:v>
                      </c:pt>
                      <c:pt idx="126" formatCode="#,##0">
                        <c:v>3250</c:v>
                      </c:pt>
                      <c:pt idx="127" formatCode="#,##0">
                        <c:v>3250</c:v>
                      </c:pt>
                      <c:pt idx="128" formatCode="#,##0">
                        <c:v>3250</c:v>
                      </c:pt>
                      <c:pt idx="129" formatCode="#,##0">
                        <c:v>3250</c:v>
                      </c:pt>
                      <c:pt idx="130" formatCode="#,##0">
                        <c:v>3250</c:v>
                      </c:pt>
                      <c:pt idx="131" formatCode="#,##0">
                        <c:v>3250</c:v>
                      </c:pt>
                      <c:pt idx="132" formatCode="#,##0">
                        <c:v>3250</c:v>
                      </c:pt>
                      <c:pt idx="133" formatCode="#,##0">
                        <c:v>3250</c:v>
                      </c:pt>
                      <c:pt idx="134" formatCode="#,##0">
                        <c:v>3250</c:v>
                      </c:pt>
                      <c:pt idx="135" formatCode="#,##0">
                        <c:v>3250</c:v>
                      </c:pt>
                      <c:pt idx="136" formatCode="#,##0">
                        <c:v>3250</c:v>
                      </c:pt>
                      <c:pt idx="137" formatCode="#,##0">
                        <c:v>3250</c:v>
                      </c:pt>
                      <c:pt idx="138" formatCode="#,##0">
                        <c:v>3250</c:v>
                      </c:pt>
                      <c:pt idx="139" formatCode="#,##0">
                        <c:v>3250</c:v>
                      </c:pt>
                      <c:pt idx="140" formatCode="#,##0">
                        <c:v>3250</c:v>
                      </c:pt>
                      <c:pt idx="141" formatCode="#,##0">
                        <c:v>3250</c:v>
                      </c:pt>
                      <c:pt idx="142" formatCode="#,##0">
                        <c:v>3250</c:v>
                      </c:pt>
                      <c:pt idx="143" formatCode="#,##0">
                        <c:v>3250</c:v>
                      </c:pt>
                      <c:pt idx="144" formatCode="#,##0">
                        <c:v>3250</c:v>
                      </c:pt>
                      <c:pt idx="145" formatCode="#,##0">
                        <c:v>3250</c:v>
                      </c:pt>
                      <c:pt idx="146" formatCode="#,##0">
                        <c:v>3250</c:v>
                      </c:pt>
                      <c:pt idx="147" formatCode="#,##0">
                        <c:v>3250</c:v>
                      </c:pt>
                      <c:pt idx="148" formatCode="#,##0">
                        <c:v>3250</c:v>
                      </c:pt>
                      <c:pt idx="149" formatCode="#,##0">
                        <c:v>3250</c:v>
                      </c:pt>
                      <c:pt idx="150" formatCode="#,##0">
                        <c:v>3250</c:v>
                      </c:pt>
                      <c:pt idx="151" formatCode="#,##0">
                        <c:v>3250</c:v>
                      </c:pt>
                      <c:pt idx="152" formatCode="#,##0">
                        <c:v>3250</c:v>
                      </c:pt>
                      <c:pt idx="153" formatCode="#,##0">
                        <c:v>3250</c:v>
                      </c:pt>
                      <c:pt idx="154" formatCode="#,##0">
                        <c:v>3250</c:v>
                      </c:pt>
                      <c:pt idx="155" formatCode="#,##0">
                        <c:v>3250</c:v>
                      </c:pt>
                      <c:pt idx="156" formatCode="#,##0">
                        <c:v>3250</c:v>
                      </c:pt>
                      <c:pt idx="157" formatCode="#,##0">
                        <c:v>3250</c:v>
                      </c:pt>
                      <c:pt idx="158" formatCode="#,##0">
                        <c:v>3250</c:v>
                      </c:pt>
                      <c:pt idx="159" formatCode="#,##0">
                        <c:v>3250</c:v>
                      </c:pt>
                      <c:pt idx="160" formatCode="#,##0">
                        <c:v>3250</c:v>
                      </c:pt>
                      <c:pt idx="161" formatCode="#,##0">
                        <c:v>3250</c:v>
                      </c:pt>
                      <c:pt idx="162" formatCode="#,##0">
                        <c:v>3250</c:v>
                      </c:pt>
                      <c:pt idx="163" formatCode="#,##0">
                        <c:v>3250</c:v>
                      </c:pt>
                      <c:pt idx="164" formatCode="#,##0">
                        <c:v>3250</c:v>
                      </c:pt>
                      <c:pt idx="165" formatCode="#,##0">
                        <c:v>3250</c:v>
                      </c:pt>
                      <c:pt idx="166" formatCode="#,##0">
                        <c:v>3250</c:v>
                      </c:pt>
                      <c:pt idx="167" formatCode="#,##0">
                        <c:v>3250</c:v>
                      </c:pt>
                      <c:pt idx="168" formatCode="#,##0">
                        <c:v>3250</c:v>
                      </c:pt>
                      <c:pt idx="169" formatCode="#,##0">
                        <c:v>3250</c:v>
                      </c:pt>
                      <c:pt idx="170" formatCode="#,##0">
                        <c:v>3250</c:v>
                      </c:pt>
                      <c:pt idx="171" formatCode="#,##0">
                        <c:v>3250</c:v>
                      </c:pt>
                      <c:pt idx="172" formatCode="#,##0">
                        <c:v>3250</c:v>
                      </c:pt>
                      <c:pt idx="173" formatCode="#,##0">
                        <c:v>3250</c:v>
                      </c:pt>
                      <c:pt idx="174" formatCode="#,##0">
                        <c:v>3250</c:v>
                      </c:pt>
                      <c:pt idx="175" formatCode="#,##0">
                        <c:v>3250</c:v>
                      </c:pt>
                      <c:pt idx="176" formatCode="#,##0">
                        <c:v>3250</c:v>
                      </c:pt>
                      <c:pt idx="177" formatCode="#,##0">
                        <c:v>3250</c:v>
                      </c:pt>
                      <c:pt idx="178" formatCode="#,##0">
                        <c:v>3250</c:v>
                      </c:pt>
                      <c:pt idx="179" formatCode="#,##0">
                        <c:v>3250</c:v>
                      </c:pt>
                      <c:pt idx="180" formatCode="#,##0">
                        <c:v>3250</c:v>
                      </c:pt>
                      <c:pt idx="181" formatCode="#,##0">
                        <c:v>3250</c:v>
                      </c:pt>
                      <c:pt idx="182" formatCode="#,##0">
                        <c:v>3250</c:v>
                      </c:pt>
                      <c:pt idx="183" formatCode="#,##0">
                        <c:v>3250</c:v>
                      </c:pt>
                      <c:pt idx="184" formatCode="#,##0">
                        <c:v>3500</c:v>
                      </c:pt>
                      <c:pt idx="185" formatCode="#,##0">
                        <c:v>3500</c:v>
                      </c:pt>
                      <c:pt idx="186" formatCode="#,##0">
                        <c:v>3500</c:v>
                      </c:pt>
                      <c:pt idx="187" formatCode="#,##0">
                        <c:v>3500</c:v>
                      </c:pt>
                      <c:pt idx="188" formatCode="#,##0">
                        <c:v>3500</c:v>
                      </c:pt>
                      <c:pt idx="189" formatCode="#,##0">
                        <c:v>3500</c:v>
                      </c:pt>
                      <c:pt idx="190" formatCode="#,##0">
                        <c:v>3500</c:v>
                      </c:pt>
                      <c:pt idx="191" formatCode="#,##0">
                        <c:v>3500</c:v>
                      </c:pt>
                      <c:pt idx="192" formatCode="#,##0">
                        <c:v>3500</c:v>
                      </c:pt>
                      <c:pt idx="193" formatCode="#,##0">
                        <c:v>3500</c:v>
                      </c:pt>
                      <c:pt idx="194" formatCode="#,##0">
                        <c:v>3500</c:v>
                      </c:pt>
                      <c:pt idx="195" formatCode="#,##0">
                        <c:v>3500</c:v>
                      </c:pt>
                      <c:pt idx="196" formatCode="#,##0">
                        <c:v>3500</c:v>
                      </c:pt>
                      <c:pt idx="197" formatCode="#,##0">
                        <c:v>3500</c:v>
                      </c:pt>
                      <c:pt idx="198" formatCode="#,##0">
                        <c:v>3500</c:v>
                      </c:pt>
                      <c:pt idx="199" formatCode="#,##0">
                        <c:v>3500</c:v>
                      </c:pt>
                      <c:pt idx="200" formatCode="#,##0">
                        <c:v>3500</c:v>
                      </c:pt>
                      <c:pt idx="201" formatCode="#,##0">
                        <c:v>3500</c:v>
                      </c:pt>
                      <c:pt idx="202" formatCode="#,##0">
                        <c:v>3500</c:v>
                      </c:pt>
                      <c:pt idx="203" formatCode="#,##0">
                        <c:v>3500</c:v>
                      </c:pt>
                      <c:pt idx="204" formatCode="#,##0">
                        <c:v>3500</c:v>
                      </c:pt>
                      <c:pt idx="205" formatCode="#,##0">
                        <c:v>3500</c:v>
                      </c:pt>
                      <c:pt idx="206" formatCode="#,##0">
                        <c:v>3500</c:v>
                      </c:pt>
                      <c:pt idx="207" formatCode="#,##0">
                        <c:v>3500</c:v>
                      </c:pt>
                      <c:pt idx="208" formatCode="#,##0">
                        <c:v>3500</c:v>
                      </c:pt>
                      <c:pt idx="209" formatCode="#,##0">
                        <c:v>3500</c:v>
                      </c:pt>
                      <c:pt idx="210" formatCode="#,##0">
                        <c:v>3500</c:v>
                      </c:pt>
                      <c:pt idx="211" formatCode="#,##0">
                        <c:v>3500</c:v>
                      </c:pt>
                    </c:numCache>
                  </c:numRef>
                </c:yVal>
                <c:smooth val="1"/>
                <c:extLst xmlns:c15="http://schemas.microsoft.com/office/drawing/2012/chart">
                  <c:ext xmlns:c16="http://schemas.microsoft.com/office/drawing/2014/chart" uri="{C3380CC4-5D6E-409C-BE32-E72D297353CC}">
                    <c16:uniqueId val="{00000003-CF8D-4DA3-B88B-3699E3D10B95}"/>
                  </c:ext>
                </c:extLst>
              </c15:ser>
            </c15:filteredScatterSeries>
            <c15:filteredScatterSeries>
              <c15:ser>
                <c:idx val="2"/>
                <c:order val="4"/>
                <c:tx>
                  <c:strRef>
                    <c:extLst xmlns:c15="http://schemas.microsoft.com/office/drawing/2012/chart">
                      <c:ext xmlns:c15="http://schemas.microsoft.com/office/drawing/2012/chart" uri="{02D57815-91ED-43cb-92C2-25804820EDAC}">
                        <c15:formulaRef>
                          <c15:sqref>'Keswick Flow Alternatives'!$F$2</c15:sqref>
                        </c15:formulaRef>
                      </c:ext>
                    </c:extLst>
                    <c:strCache>
                      <c:ptCount val="1"/>
                      <c:pt idx="0">
                        <c:v>A3</c:v>
                      </c:pt>
                    </c:strCache>
                  </c:strRef>
                </c:tx>
                <c:spPr>
                  <a:ln w="25400" cap="rnd">
                    <a:solidFill>
                      <a:srgbClr val="00B0F0"/>
                    </a:solidFill>
                    <a:round/>
                  </a:ln>
                  <a:effectLst/>
                </c:spPr>
                <c:marker>
                  <c:symbol val="none"/>
                </c:marker>
                <c:xVal>
                  <c:numRef>
                    <c:extLst xmlns:c15="http://schemas.microsoft.com/office/drawing/2012/chart">
                      <c:ext xmlns:c15="http://schemas.microsoft.com/office/drawing/2012/chart" uri="{02D57815-91ED-43cb-92C2-25804820EDAC}">
                        <c15:formulaRef>
                          <c15:sqref>'Keswick Flow Alternatives'!$A$3:$A$215</c15:sqref>
                        </c15:formulaRef>
                      </c:ext>
                    </c:extLst>
                    <c:numCache>
                      <c:formatCode>[$-F800]dddd\,\ mmmm\ dd\,\ yyyy</c:formatCode>
                      <c:ptCount val="213"/>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numRef>
                </c:xVal>
                <c:yVal>
                  <c:numRef>
                    <c:extLst xmlns:c15="http://schemas.microsoft.com/office/drawing/2012/chart">
                      <c:ext xmlns:c15="http://schemas.microsoft.com/office/drawing/2012/chart" uri="{02D57815-91ED-43cb-92C2-25804820EDAC}">
                        <c15:formulaRef>
                          <c15:sqref>'Keswick Flow Alternatives'!$F$3:$F$214</c15:sqref>
                        </c15:formulaRef>
                      </c:ext>
                    </c:extLst>
                    <c:numCache>
                      <c:formatCode>General</c:formatCode>
                      <c:ptCount val="212"/>
                      <c:pt idx="31">
                        <c:v>8000</c:v>
                      </c:pt>
                      <c:pt idx="32">
                        <c:v>8000</c:v>
                      </c:pt>
                      <c:pt idx="33">
                        <c:v>8000</c:v>
                      </c:pt>
                      <c:pt idx="34">
                        <c:v>8000</c:v>
                      </c:pt>
                      <c:pt idx="35">
                        <c:v>8000</c:v>
                      </c:pt>
                      <c:pt idx="36">
                        <c:v>8000</c:v>
                      </c:pt>
                      <c:pt idx="37">
                        <c:v>8000</c:v>
                      </c:pt>
                      <c:pt idx="38">
                        <c:v>8000</c:v>
                      </c:pt>
                      <c:pt idx="39">
                        <c:v>8000</c:v>
                      </c:pt>
                      <c:pt idx="40">
                        <c:v>8000</c:v>
                      </c:pt>
                      <c:pt idx="41">
                        <c:v>8000</c:v>
                      </c:pt>
                      <c:pt idx="42">
                        <c:v>8000</c:v>
                      </c:pt>
                      <c:pt idx="43">
                        <c:v>8000</c:v>
                      </c:pt>
                      <c:pt idx="44">
                        <c:v>8000</c:v>
                      </c:pt>
                      <c:pt idx="45">
                        <c:v>8000</c:v>
                      </c:pt>
                      <c:pt idx="46">
                        <c:v>8000</c:v>
                      </c:pt>
                      <c:pt idx="47">
                        <c:v>8000</c:v>
                      </c:pt>
                      <c:pt idx="48">
                        <c:v>8000</c:v>
                      </c:pt>
                      <c:pt idx="49">
                        <c:v>8000</c:v>
                      </c:pt>
                      <c:pt idx="50">
                        <c:v>8000</c:v>
                      </c:pt>
                      <c:pt idx="51">
                        <c:v>8000</c:v>
                      </c:pt>
                      <c:pt idx="52">
                        <c:v>8000</c:v>
                      </c:pt>
                      <c:pt idx="53">
                        <c:v>8000</c:v>
                      </c:pt>
                      <c:pt idx="54">
                        <c:v>8000</c:v>
                      </c:pt>
                      <c:pt idx="55">
                        <c:v>8000</c:v>
                      </c:pt>
                      <c:pt idx="56">
                        <c:v>8000</c:v>
                      </c:pt>
                      <c:pt idx="57">
                        <c:v>8000</c:v>
                      </c:pt>
                      <c:pt idx="58">
                        <c:v>8000</c:v>
                      </c:pt>
                      <c:pt idx="59">
                        <c:v>8000</c:v>
                      </c:pt>
                      <c:pt idx="60">
                        <c:v>8000</c:v>
                      </c:pt>
                      <c:pt idx="61">
                        <c:v>6000</c:v>
                      </c:pt>
                      <c:pt idx="62">
                        <c:v>6000</c:v>
                      </c:pt>
                      <c:pt idx="63">
                        <c:v>6000</c:v>
                      </c:pt>
                      <c:pt idx="64">
                        <c:v>6000</c:v>
                      </c:pt>
                      <c:pt idx="65">
                        <c:v>6000</c:v>
                      </c:pt>
                      <c:pt idx="66">
                        <c:v>6000</c:v>
                      </c:pt>
                      <c:pt idx="67">
                        <c:v>6000</c:v>
                      </c:pt>
                      <c:pt idx="68">
                        <c:v>6000</c:v>
                      </c:pt>
                      <c:pt idx="69">
                        <c:v>6000</c:v>
                      </c:pt>
                      <c:pt idx="70">
                        <c:v>6000</c:v>
                      </c:pt>
                      <c:pt idx="71">
                        <c:v>6000</c:v>
                      </c:pt>
                      <c:pt idx="72">
                        <c:v>6000</c:v>
                      </c:pt>
                      <c:pt idx="73">
                        <c:v>6000</c:v>
                      </c:pt>
                      <c:pt idx="74">
                        <c:v>6000</c:v>
                      </c:pt>
                      <c:pt idx="75">
                        <c:v>6000</c:v>
                      </c:pt>
                      <c:pt idx="76">
                        <c:v>6000</c:v>
                      </c:pt>
                      <c:pt idx="77">
                        <c:v>6000</c:v>
                      </c:pt>
                      <c:pt idx="78">
                        <c:v>6000</c:v>
                      </c:pt>
                      <c:pt idx="79">
                        <c:v>6000</c:v>
                      </c:pt>
                      <c:pt idx="80">
                        <c:v>6000</c:v>
                      </c:pt>
                      <c:pt idx="81">
                        <c:v>6000</c:v>
                      </c:pt>
                      <c:pt idx="82">
                        <c:v>6000</c:v>
                      </c:pt>
                      <c:pt idx="83">
                        <c:v>6000</c:v>
                      </c:pt>
                      <c:pt idx="84">
                        <c:v>6000</c:v>
                      </c:pt>
                      <c:pt idx="85">
                        <c:v>6000</c:v>
                      </c:pt>
                      <c:pt idx="86">
                        <c:v>6000</c:v>
                      </c:pt>
                      <c:pt idx="87">
                        <c:v>6000</c:v>
                      </c:pt>
                      <c:pt idx="88">
                        <c:v>6000</c:v>
                      </c:pt>
                      <c:pt idx="89">
                        <c:v>6000</c:v>
                      </c:pt>
                      <c:pt idx="90">
                        <c:v>6000</c:v>
                      </c:pt>
                      <c:pt idx="91">
                        <c:v>6000</c:v>
                      </c:pt>
                      <c:pt idx="92" formatCode="#,##0">
                        <c:v>5700</c:v>
                      </c:pt>
                      <c:pt idx="93" formatCode="#,##0">
                        <c:v>5700</c:v>
                      </c:pt>
                      <c:pt idx="94" formatCode="#,##0">
                        <c:v>5700</c:v>
                      </c:pt>
                      <c:pt idx="95" formatCode="#,##0">
                        <c:v>5700</c:v>
                      </c:pt>
                      <c:pt idx="96" formatCode="#,##0">
                        <c:v>5700</c:v>
                      </c:pt>
                      <c:pt idx="97" formatCode="#,##0">
                        <c:v>5700</c:v>
                      </c:pt>
                      <c:pt idx="98" formatCode="#,##0">
                        <c:v>5700</c:v>
                      </c:pt>
                      <c:pt idx="99" formatCode="#,##0">
                        <c:v>5700</c:v>
                      </c:pt>
                      <c:pt idx="100" formatCode="#,##0">
                        <c:v>5700</c:v>
                      </c:pt>
                      <c:pt idx="101" formatCode="#,##0">
                        <c:v>5700</c:v>
                      </c:pt>
                      <c:pt idx="102" formatCode="#,##0">
                        <c:v>5700</c:v>
                      </c:pt>
                      <c:pt idx="103" formatCode="#,##0">
                        <c:v>5700</c:v>
                      </c:pt>
                      <c:pt idx="104" formatCode="#,##0">
                        <c:v>5700</c:v>
                      </c:pt>
                      <c:pt idx="105" formatCode="#,##0">
                        <c:v>5700</c:v>
                      </c:pt>
                      <c:pt idx="106" formatCode="#,##0">
                        <c:v>5700</c:v>
                      </c:pt>
                      <c:pt idx="107" formatCode="#,##0">
                        <c:v>5700</c:v>
                      </c:pt>
                      <c:pt idx="108" formatCode="#,##0">
                        <c:v>5700</c:v>
                      </c:pt>
                      <c:pt idx="109" formatCode="#,##0">
                        <c:v>5700</c:v>
                      </c:pt>
                      <c:pt idx="110" formatCode="#,##0">
                        <c:v>5700</c:v>
                      </c:pt>
                      <c:pt idx="111" formatCode="#,##0">
                        <c:v>5700</c:v>
                      </c:pt>
                      <c:pt idx="112" formatCode="#,##0">
                        <c:v>5700</c:v>
                      </c:pt>
                      <c:pt idx="113" formatCode="#,##0">
                        <c:v>5700</c:v>
                      </c:pt>
                      <c:pt idx="114" formatCode="#,##0">
                        <c:v>5700</c:v>
                      </c:pt>
                      <c:pt idx="115" formatCode="#,##0">
                        <c:v>5700</c:v>
                      </c:pt>
                      <c:pt idx="116" formatCode="#,##0">
                        <c:v>5700</c:v>
                      </c:pt>
                      <c:pt idx="117" formatCode="#,##0">
                        <c:v>5700</c:v>
                      </c:pt>
                      <c:pt idx="118" formatCode="#,##0">
                        <c:v>5700</c:v>
                      </c:pt>
                      <c:pt idx="119" formatCode="#,##0">
                        <c:v>5700</c:v>
                      </c:pt>
                      <c:pt idx="120" formatCode="#,##0">
                        <c:v>5700</c:v>
                      </c:pt>
                      <c:pt idx="121" formatCode="#,##0">
                        <c:v>5700</c:v>
                      </c:pt>
                      <c:pt idx="122" formatCode="#,##0">
                        <c:v>3250</c:v>
                      </c:pt>
                      <c:pt idx="123" formatCode="#,##0">
                        <c:v>3250</c:v>
                      </c:pt>
                      <c:pt idx="124" formatCode="#,##0">
                        <c:v>3250</c:v>
                      </c:pt>
                      <c:pt idx="125" formatCode="#,##0">
                        <c:v>3250</c:v>
                      </c:pt>
                      <c:pt idx="126" formatCode="#,##0">
                        <c:v>3250</c:v>
                      </c:pt>
                      <c:pt idx="127" formatCode="#,##0">
                        <c:v>3250</c:v>
                      </c:pt>
                      <c:pt idx="128" formatCode="#,##0">
                        <c:v>3250</c:v>
                      </c:pt>
                      <c:pt idx="129" formatCode="#,##0">
                        <c:v>3250</c:v>
                      </c:pt>
                      <c:pt idx="130" formatCode="#,##0">
                        <c:v>3250</c:v>
                      </c:pt>
                      <c:pt idx="131" formatCode="#,##0">
                        <c:v>3250</c:v>
                      </c:pt>
                      <c:pt idx="132" formatCode="#,##0">
                        <c:v>3250</c:v>
                      </c:pt>
                      <c:pt idx="133" formatCode="#,##0">
                        <c:v>3250</c:v>
                      </c:pt>
                      <c:pt idx="134" formatCode="#,##0">
                        <c:v>3250</c:v>
                      </c:pt>
                      <c:pt idx="135" formatCode="#,##0">
                        <c:v>3250</c:v>
                      </c:pt>
                      <c:pt idx="136" formatCode="#,##0">
                        <c:v>3250</c:v>
                      </c:pt>
                      <c:pt idx="137" formatCode="#,##0">
                        <c:v>3250</c:v>
                      </c:pt>
                      <c:pt idx="138" formatCode="#,##0">
                        <c:v>3250</c:v>
                      </c:pt>
                      <c:pt idx="139" formatCode="#,##0">
                        <c:v>3250</c:v>
                      </c:pt>
                      <c:pt idx="140" formatCode="#,##0">
                        <c:v>3250</c:v>
                      </c:pt>
                      <c:pt idx="141" formatCode="#,##0">
                        <c:v>3250</c:v>
                      </c:pt>
                      <c:pt idx="142" formatCode="#,##0">
                        <c:v>3250</c:v>
                      </c:pt>
                      <c:pt idx="143" formatCode="#,##0">
                        <c:v>3250</c:v>
                      </c:pt>
                      <c:pt idx="144" formatCode="#,##0">
                        <c:v>3250</c:v>
                      </c:pt>
                      <c:pt idx="145" formatCode="#,##0">
                        <c:v>3250</c:v>
                      </c:pt>
                      <c:pt idx="146" formatCode="#,##0">
                        <c:v>3250</c:v>
                      </c:pt>
                      <c:pt idx="147" formatCode="#,##0">
                        <c:v>3250</c:v>
                      </c:pt>
                      <c:pt idx="148" formatCode="#,##0">
                        <c:v>3250</c:v>
                      </c:pt>
                      <c:pt idx="149" formatCode="#,##0">
                        <c:v>3250</c:v>
                      </c:pt>
                      <c:pt idx="150" formatCode="#,##0">
                        <c:v>3250</c:v>
                      </c:pt>
                      <c:pt idx="151" formatCode="#,##0">
                        <c:v>3250</c:v>
                      </c:pt>
                      <c:pt idx="152" formatCode="#,##0">
                        <c:v>3250</c:v>
                      </c:pt>
                      <c:pt idx="153" formatCode="#,##0">
                        <c:v>3250</c:v>
                      </c:pt>
                      <c:pt idx="154" formatCode="#,##0">
                        <c:v>3250</c:v>
                      </c:pt>
                      <c:pt idx="155" formatCode="#,##0">
                        <c:v>3250</c:v>
                      </c:pt>
                      <c:pt idx="156" formatCode="#,##0">
                        <c:v>3250</c:v>
                      </c:pt>
                      <c:pt idx="157" formatCode="#,##0">
                        <c:v>3250</c:v>
                      </c:pt>
                      <c:pt idx="158" formatCode="#,##0">
                        <c:v>3250</c:v>
                      </c:pt>
                      <c:pt idx="159" formatCode="#,##0">
                        <c:v>3250</c:v>
                      </c:pt>
                      <c:pt idx="160" formatCode="#,##0">
                        <c:v>3250</c:v>
                      </c:pt>
                      <c:pt idx="161" formatCode="#,##0">
                        <c:v>3250</c:v>
                      </c:pt>
                      <c:pt idx="162" formatCode="#,##0">
                        <c:v>3250</c:v>
                      </c:pt>
                      <c:pt idx="163" formatCode="#,##0">
                        <c:v>3250</c:v>
                      </c:pt>
                      <c:pt idx="164" formatCode="#,##0">
                        <c:v>3250</c:v>
                      </c:pt>
                      <c:pt idx="165" formatCode="#,##0">
                        <c:v>3250</c:v>
                      </c:pt>
                      <c:pt idx="166" formatCode="#,##0">
                        <c:v>3250</c:v>
                      </c:pt>
                      <c:pt idx="167" formatCode="#,##0">
                        <c:v>3250</c:v>
                      </c:pt>
                      <c:pt idx="168" formatCode="#,##0">
                        <c:v>3250</c:v>
                      </c:pt>
                      <c:pt idx="169" formatCode="#,##0">
                        <c:v>3250</c:v>
                      </c:pt>
                      <c:pt idx="170" formatCode="#,##0">
                        <c:v>3250</c:v>
                      </c:pt>
                      <c:pt idx="171" formatCode="#,##0">
                        <c:v>3250</c:v>
                      </c:pt>
                      <c:pt idx="172" formatCode="#,##0">
                        <c:v>3250</c:v>
                      </c:pt>
                      <c:pt idx="173" formatCode="#,##0">
                        <c:v>3250</c:v>
                      </c:pt>
                      <c:pt idx="174" formatCode="#,##0">
                        <c:v>3250</c:v>
                      </c:pt>
                      <c:pt idx="175" formatCode="#,##0">
                        <c:v>3250</c:v>
                      </c:pt>
                      <c:pt idx="176" formatCode="#,##0">
                        <c:v>3250</c:v>
                      </c:pt>
                      <c:pt idx="177" formatCode="#,##0">
                        <c:v>3250</c:v>
                      </c:pt>
                      <c:pt idx="178" formatCode="#,##0">
                        <c:v>3250</c:v>
                      </c:pt>
                      <c:pt idx="179" formatCode="#,##0">
                        <c:v>3250</c:v>
                      </c:pt>
                      <c:pt idx="180" formatCode="#,##0">
                        <c:v>3250</c:v>
                      </c:pt>
                      <c:pt idx="181" formatCode="#,##0">
                        <c:v>3250</c:v>
                      </c:pt>
                      <c:pt idx="182" formatCode="#,##0">
                        <c:v>3250</c:v>
                      </c:pt>
                      <c:pt idx="183" formatCode="#,##0">
                        <c:v>3250</c:v>
                      </c:pt>
                      <c:pt idx="184" formatCode="#,##0">
                        <c:v>3250</c:v>
                      </c:pt>
                      <c:pt idx="185" formatCode="#,##0">
                        <c:v>3250</c:v>
                      </c:pt>
                      <c:pt idx="186" formatCode="#,##0">
                        <c:v>3250</c:v>
                      </c:pt>
                      <c:pt idx="187" formatCode="#,##0">
                        <c:v>3250</c:v>
                      </c:pt>
                      <c:pt idx="188" formatCode="#,##0">
                        <c:v>3250</c:v>
                      </c:pt>
                      <c:pt idx="189" formatCode="#,##0">
                        <c:v>3250</c:v>
                      </c:pt>
                      <c:pt idx="190" formatCode="#,##0">
                        <c:v>3250</c:v>
                      </c:pt>
                      <c:pt idx="191" formatCode="#,##0">
                        <c:v>3250</c:v>
                      </c:pt>
                      <c:pt idx="192" formatCode="#,##0">
                        <c:v>3250</c:v>
                      </c:pt>
                      <c:pt idx="193" formatCode="#,##0">
                        <c:v>3250</c:v>
                      </c:pt>
                      <c:pt idx="194" formatCode="#,##0">
                        <c:v>3250</c:v>
                      </c:pt>
                      <c:pt idx="195" formatCode="#,##0">
                        <c:v>3250</c:v>
                      </c:pt>
                      <c:pt idx="196" formatCode="#,##0">
                        <c:v>3250</c:v>
                      </c:pt>
                      <c:pt idx="197" formatCode="#,##0">
                        <c:v>3250</c:v>
                      </c:pt>
                      <c:pt idx="198" formatCode="#,##0">
                        <c:v>3250</c:v>
                      </c:pt>
                      <c:pt idx="199" formatCode="#,##0">
                        <c:v>3250</c:v>
                      </c:pt>
                      <c:pt idx="200" formatCode="#,##0">
                        <c:v>3250</c:v>
                      </c:pt>
                      <c:pt idx="201" formatCode="#,##0">
                        <c:v>3250</c:v>
                      </c:pt>
                      <c:pt idx="202" formatCode="#,##0">
                        <c:v>3250</c:v>
                      </c:pt>
                      <c:pt idx="203" formatCode="#,##0">
                        <c:v>3250</c:v>
                      </c:pt>
                      <c:pt idx="204" formatCode="#,##0">
                        <c:v>3250</c:v>
                      </c:pt>
                      <c:pt idx="205" formatCode="#,##0">
                        <c:v>3250</c:v>
                      </c:pt>
                      <c:pt idx="206" formatCode="#,##0">
                        <c:v>3250</c:v>
                      </c:pt>
                      <c:pt idx="207" formatCode="#,##0">
                        <c:v>3250</c:v>
                      </c:pt>
                      <c:pt idx="208" formatCode="#,##0">
                        <c:v>3250</c:v>
                      </c:pt>
                      <c:pt idx="209" formatCode="#,##0">
                        <c:v>3250</c:v>
                      </c:pt>
                      <c:pt idx="210" formatCode="#,##0">
                        <c:v>3250</c:v>
                      </c:pt>
                      <c:pt idx="211" formatCode="#,##0">
                        <c:v>3250</c:v>
                      </c:pt>
                    </c:numCache>
                  </c:numRef>
                </c:yVal>
                <c:smooth val="1"/>
                <c:extLst xmlns:c15="http://schemas.microsoft.com/office/drawing/2012/chart">
                  <c:ext xmlns:c16="http://schemas.microsoft.com/office/drawing/2014/chart" uri="{C3380CC4-5D6E-409C-BE32-E72D297353CC}">
                    <c16:uniqueId val="{00000004-CF8D-4DA3-B88B-3699E3D10B95}"/>
                  </c:ext>
                </c:extLst>
              </c15:ser>
            </c15:filteredScatterSeries>
            <c15:filteredScatterSeries>
              <c15:ser>
                <c:idx val="7"/>
                <c:order val="5"/>
                <c:tx>
                  <c:strRef>
                    <c:extLst xmlns:c15="http://schemas.microsoft.com/office/drawing/2012/chart">
                      <c:ext xmlns:c15="http://schemas.microsoft.com/office/drawing/2012/chart" uri="{02D57815-91ED-43cb-92C2-25804820EDAC}">
                        <c15:formulaRef>
                          <c15:sqref>'Keswick Flow Alternatives'!$G$2</c15:sqref>
                        </c15:formulaRef>
                      </c:ext>
                    </c:extLst>
                    <c:strCache>
                      <c:ptCount val="1"/>
                      <c:pt idx="0">
                        <c:v>C1</c:v>
                      </c:pt>
                    </c:strCache>
                  </c:strRef>
                </c:tx>
                <c:spPr>
                  <a:ln w="19050" cap="rnd">
                    <a:solidFill>
                      <a:schemeClr val="accent2">
                        <a:lumMod val="60000"/>
                      </a:schemeClr>
                    </a:solidFill>
                    <a:round/>
                  </a:ln>
                  <a:effectLst/>
                </c:spPr>
                <c:marker>
                  <c:symbol val="none"/>
                </c:marker>
                <c:xVal>
                  <c:numRef>
                    <c:extLst xmlns:c15="http://schemas.microsoft.com/office/drawing/2012/chart">
                      <c:ext xmlns:c15="http://schemas.microsoft.com/office/drawing/2012/chart" uri="{02D57815-91ED-43cb-92C2-25804820EDAC}">
                        <c15:formulaRef>
                          <c15:sqref>'Keswick Flow Alternatives'!$A$3:$A$214</c15:sqref>
                        </c15:formulaRef>
                      </c:ext>
                    </c:extLst>
                    <c:numCache>
                      <c:formatCode>[$-F800]dddd\,\ mmmm\ dd\,\ yyyy</c:formatCode>
                      <c:ptCount val="212"/>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numRef>
                </c:xVal>
                <c:yVal>
                  <c:numRef>
                    <c:extLst xmlns:c15="http://schemas.microsoft.com/office/drawing/2012/chart">
                      <c:ext xmlns:c15="http://schemas.microsoft.com/office/drawing/2012/chart" uri="{02D57815-91ED-43cb-92C2-25804820EDAC}">
                        <c15:formulaRef>
                          <c15:sqref>'Keswick Flow Alternatives'!$G$3:$G$214</c15:sqref>
                        </c15:formulaRef>
                      </c:ext>
                    </c:extLst>
                    <c:numCache>
                      <c:formatCode>General</c:formatCode>
                      <c:ptCount val="212"/>
                      <c:pt idx="31">
                        <c:v>8000</c:v>
                      </c:pt>
                      <c:pt idx="32">
                        <c:v>8000</c:v>
                      </c:pt>
                      <c:pt idx="33">
                        <c:v>8000</c:v>
                      </c:pt>
                      <c:pt idx="34">
                        <c:v>8000</c:v>
                      </c:pt>
                      <c:pt idx="35">
                        <c:v>8000</c:v>
                      </c:pt>
                      <c:pt idx="36">
                        <c:v>8000</c:v>
                      </c:pt>
                      <c:pt idx="37">
                        <c:v>8000</c:v>
                      </c:pt>
                      <c:pt idx="38">
                        <c:v>8000</c:v>
                      </c:pt>
                      <c:pt idx="39">
                        <c:v>8000</c:v>
                      </c:pt>
                      <c:pt idx="40">
                        <c:v>8000</c:v>
                      </c:pt>
                      <c:pt idx="41">
                        <c:v>8000</c:v>
                      </c:pt>
                      <c:pt idx="42">
                        <c:v>8000</c:v>
                      </c:pt>
                      <c:pt idx="43">
                        <c:v>8000</c:v>
                      </c:pt>
                      <c:pt idx="44">
                        <c:v>8000</c:v>
                      </c:pt>
                      <c:pt idx="45">
                        <c:v>8000</c:v>
                      </c:pt>
                      <c:pt idx="46">
                        <c:v>8000</c:v>
                      </c:pt>
                      <c:pt idx="47">
                        <c:v>8000</c:v>
                      </c:pt>
                      <c:pt idx="48">
                        <c:v>8000</c:v>
                      </c:pt>
                      <c:pt idx="49">
                        <c:v>8000</c:v>
                      </c:pt>
                      <c:pt idx="50">
                        <c:v>8000</c:v>
                      </c:pt>
                      <c:pt idx="51">
                        <c:v>8000</c:v>
                      </c:pt>
                      <c:pt idx="52">
                        <c:v>8000</c:v>
                      </c:pt>
                      <c:pt idx="53">
                        <c:v>8000</c:v>
                      </c:pt>
                      <c:pt idx="54">
                        <c:v>8000</c:v>
                      </c:pt>
                      <c:pt idx="55">
                        <c:v>8000</c:v>
                      </c:pt>
                      <c:pt idx="56">
                        <c:v>8000</c:v>
                      </c:pt>
                      <c:pt idx="57">
                        <c:v>8000</c:v>
                      </c:pt>
                      <c:pt idx="58">
                        <c:v>8000</c:v>
                      </c:pt>
                      <c:pt idx="59">
                        <c:v>8000</c:v>
                      </c:pt>
                      <c:pt idx="60">
                        <c:v>8000</c:v>
                      </c:pt>
                      <c:pt idx="61">
                        <c:v>7000</c:v>
                      </c:pt>
                      <c:pt idx="62">
                        <c:v>6000</c:v>
                      </c:pt>
                      <c:pt idx="63">
                        <c:v>6000</c:v>
                      </c:pt>
                      <c:pt idx="64">
                        <c:v>6000</c:v>
                      </c:pt>
                      <c:pt idx="65">
                        <c:v>6000</c:v>
                      </c:pt>
                      <c:pt idx="66">
                        <c:v>6000</c:v>
                      </c:pt>
                      <c:pt idx="67">
                        <c:v>6000</c:v>
                      </c:pt>
                      <c:pt idx="68">
                        <c:v>6000</c:v>
                      </c:pt>
                      <c:pt idx="69">
                        <c:v>6000</c:v>
                      </c:pt>
                      <c:pt idx="70">
                        <c:v>6000</c:v>
                      </c:pt>
                      <c:pt idx="71">
                        <c:v>6000</c:v>
                      </c:pt>
                      <c:pt idx="72">
                        <c:v>6000</c:v>
                      </c:pt>
                      <c:pt idx="73">
                        <c:v>6000</c:v>
                      </c:pt>
                      <c:pt idx="74">
                        <c:v>6000</c:v>
                      </c:pt>
                      <c:pt idx="75">
                        <c:v>6000</c:v>
                      </c:pt>
                      <c:pt idx="76">
                        <c:v>5500</c:v>
                      </c:pt>
                      <c:pt idx="77">
                        <c:v>5500</c:v>
                      </c:pt>
                      <c:pt idx="78">
                        <c:v>5500</c:v>
                      </c:pt>
                      <c:pt idx="79">
                        <c:v>5500</c:v>
                      </c:pt>
                      <c:pt idx="80">
                        <c:v>5500</c:v>
                      </c:pt>
                      <c:pt idx="81">
                        <c:v>5500</c:v>
                      </c:pt>
                      <c:pt idx="82">
                        <c:v>5500</c:v>
                      </c:pt>
                      <c:pt idx="83">
                        <c:v>5500</c:v>
                      </c:pt>
                      <c:pt idx="84">
                        <c:v>5500</c:v>
                      </c:pt>
                      <c:pt idx="85">
                        <c:v>5500</c:v>
                      </c:pt>
                      <c:pt idx="86">
                        <c:v>5500</c:v>
                      </c:pt>
                      <c:pt idx="87">
                        <c:v>5500</c:v>
                      </c:pt>
                      <c:pt idx="88">
                        <c:v>5500</c:v>
                      </c:pt>
                      <c:pt idx="89">
                        <c:v>5500</c:v>
                      </c:pt>
                      <c:pt idx="90">
                        <c:v>5500</c:v>
                      </c:pt>
                      <c:pt idx="91">
                        <c:v>5500</c:v>
                      </c:pt>
                      <c:pt idx="92" formatCode="#,##0">
                        <c:v>5300</c:v>
                      </c:pt>
                      <c:pt idx="93" formatCode="#,##0">
                        <c:v>5200</c:v>
                      </c:pt>
                      <c:pt idx="94" formatCode="#,##0">
                        <c:v>5200</c:v>
                      </c:pt>
                      <c:pt idx="95" formatCode="#,##0">
                        <c:v>5200</c:v>
                      </c:pt>
                      <c:pt idx="96" formatCode="#,##0">
                        <c:v>5200</c:v>
                      </c:pt>
                      <c:pt idx="97" formatCode="#,##0">
                        <c:v>5200</c:v>
                      </c:pt>
                      <c:pt idx="98" formatCode="#,##0">
                        <c:v>5200</c:v>
                      </c:pt>
                      <c:pt idx="99" formatCode="#,##0">
                        <c:v>5200</c:v>
                      </c:pt>
                      <c:pt idx="100" formatCode="#,##0">
                        <c:v>5200</c:v>
                      </c:pt>
                      <c:pt idx="101" formatCode="#,##0">
                        <c:v>5200</c:v>
                      </c:pt>
                      <c:pt idx="102" formatCode="#,##0">
                        <c:v>5200</c:v>
                      </c:pt>
                      <c:pt idx="103" formatCode="#,##0">
                        <c:v>5200</c:v>
                      </c:pt>
                      <c:pt idx="104" formatCode="#,##0">
                        <c:v>5200</c:v>
                      </c:pt>
                      <c:pt idx="105" formatCode="#,##0">
                        <c:v>5200</c:v>
                      </c:pt>
                      <c:pt idx="106" formatCode="#,##0">
                        <c:v>5000</c:v>
                      </c:pt>
                      <c:pt idx="107" formatCode="#,##0">
                        <c:v>4800</c:v>
                      </c:pt>
                      <c:pt idx="108" formatCode="#,##0">
                        <c:v>4600</c:v>
                      </c:pt>
                      <c:pt idx="109" formatCode="#,##0">
                        <c:v>4600</c:v>
                      </c:pt>
                      <c:pt idx="110" formatCode="#,##0">
                        <c:v>4600</c:v>
                      </c:pt>
                      <c:pt idx="111" formatCode="#,##0">
                        <c:v>4600</c:v>
                      </c:pt>
                      <c:pt idx="112" formatCode="#,##0">
                        <c:v>4400</c:v>
                      </c:pt>
                      <c:pt idx="113" formatCode="#,##0">
                        <c:v>4200</c:v>
                      </c:pt>
                      <c:pt idx="114" formatCode="#,##0">
                        <c:v>4000</c:v>
                      </c:pt>
                      <c:pt idx="115" formatCode="#,##0">
                        <c:v>3900</c:v>
                      </c:pt>
                      <c:pt idx="116" formatCode="#,##0">
                        <c:v>3800</c:v>
                      </c:pt>
                      <c:pt idx="117" formatCode="#,##0">
                        <c:v>3700</c:v>
                      </c:pt>
                      <c:pt idx="118" formatCode="#,##0">
                        <c:v>3600</c:v>
                      </c:pt>
                      <c:pt idx="119" formatCode="#,##0">
                        <c:v>3500</c:v>
                      </c:pt>
                      <c:pt idx="120" formatCode="#,##0">
                        <c:v>3400</c:v>
                      </c:pt>
                      <c:pt idx="121" formatCode="#,##0">
                        <c:v>3300</c:v>
                      </c:pt>
                      <c:pt idx="122" formatCode="#,##0">
                        <c:v>3250</c:v>
                      </c:pt>
                      <c:pt idx="123" formatCode="#,##0">
                        <c:v>3250</c:v>
                      </c:pt>
                      <c:pt idx="124" formatCode="#,##0">
                        <c:v>3250</c:v>
                      </c:pt>
                      <c:pt idx="125" formatCode="#,##0">
                        <c:v>3250</c:v>
                      </c:pt>
                      <c:pt idx="126" formatCode="#,##0">
                        <c:v>3250</c:v>
                      </c:pt>
                      <c:pt idx="127" formatCode="#,##0">
                        <c:v>3250</c:v>
                      </c:pt>
                      <c:pt idx="128" formatCode="#,##0">
                        <c:v>3250</c:v>
                      </c:pt>
                      <c:pt idx="129" formatCode="#,##0">
                        <c:v>3250</c:v>
                      </c:pt>
                      <c:pt idx="130" formatCode="#,##0">
                        <c:v>3250</c:v>
                      </c:pt>
                      <c:pt idx="131" formatCode="#,##0">
                        <c:v>3250</c:v>
                      </c:pt>
                      <c:pt idx="132" formatCode="#,##0">
                        <c:v>3250</c:v>
                      </c:pt>
                      <c:pt idx="133" formatCode="#,##0">
                        <c:v>3250</c:v>
                      </c:pt>
                      <c:pt idx="134" formatCode="#,##0">
                        <c:v>3250</c:v>
                      </c:pt>
                      <c:pt idx="135" formatCode="#,##0">
                        <c:v>3250</c:v>
                      </c:pt>
                      <c:pt idx="136" formatCode="#,##0">
                        <c:v>3250</c:v>
                      </c:pt>
                      <c:pt idx="137" formatCode="#,##0">
                        <c:v>3250</c:v>
                      </c:pt>
                      <c:pt idx="138" formatCode="#,##0">
                        <c:v>3250</c:v>
                      </c:pt>
                      <c:pt idx="139" formatCode="#,##0">
                        <c:v>3250</c:v>
                      </c:pt>
                      <c:pt idx="140" formatCode="#,##0">
                        <c:v>3250</c:v>
                      </c:pt>
                      <c:pt idx="141" formatCode="#,##0">
                        <c:v>3250</c:v>
                      </c:pt>
                      <c:pt idx="142" formatCode="#,##0">
                        <c:v>3250</c:v>
                      </c:pt>
                      <c:pt idx="143" formatCode="#,##0">
                        <c:v>3250</c:v>
                      </c:pt>
                      <c:pt idx="144" formatCode="#,##0">
                        <c:v>3250</c:v>
                      </c:pt>
                      <c:pt idx="145" formatCode="#,##0">
                        <c:v>3250</c:v>
                      </c:pt>
                      <c:pt idx="146" formatCode="#,##0">
                        <c:v>3250</c:v>
                      </c:pt>
                      <c:pt idx="147" formatCode="#,##0">
                        <c:v>3250</c:v>
                      </c:pt>
                      <c:pt idx="148" formatCode="#,##0">
                        <c:v>3250</c:v>
                      </c:pt>
                      <c:pt idx="149" formatCode="#,##0">
                        <c:v>3250</c:v>
                      </c:pt>
                      <c:pt idx="150" formatCode="#,##0">
                        <c:v>3250</c:v>
                      </c:pt>
                      <c:pt idx="151" formatCode="#,##0">
                        <c:v>3250</c:v>
                      </c:pt>
                      <c:pt idx="152" formatCode="#,##0">
                        <c:v>3250</c:v>
                      </c:pt>
                      <c:pt idx="153" formatCode="#,##0">
                        <c:v>3250</c:v>
                      </c:pt>
                      <c:pt idx="154" formatCode="#,##0">
                        <c:v>3250</c:v>
                      </c:pt>
                      <c:pt idx="155" formatCode="#,##0">
                        <c:v>3250</c:v>
                      </c:pt>
                      <c:pt idx="156" formatCode="#,##0">
                        <c:v>3250</c:v>
                      </c:pt>
                      <c:pt idx="157" formatCode="#,##0">
                        <c:v>3250</c:v>
                      </c:pt>
                      <c:pt idx="158" formatCode="#,##0">
                        <c:v>3250</c:v>
                      </c:pt>
                      <c:pt idx="159" formatCode="#,##0">
                        <c:v>3250</c:v>
                      </c:pt>
                      <c:pt idx="160" formatCode="#,##0">
                        <c:v>3250</c:v>
                      </c:pt>
                      <c:pt idx="161" formatCode="#,##0">
                        <c:v>3250</c:v>
                      </c:pt>
                      <c:pt idx="162" formatCode="#,##0">
                        <c:v>3250</c:v>
                      </c:pt>
                      <c:pt idx="163" formatCode="#,##0">
                        <c:v>3250</c:v>
                      </c:pt>
                      <c:pt idx="164" formatCode="#,##0">
                        <c:v>3250</c:v>
                      </c:pt>
                      <c:pt idx="165" formatCode="#,##0">
                        <c:v>3250</c:v>
                      </c:pt>
                      <c:pt idx="166" formatCode="#,##0">
                        <c:v>3250</c:v>
                      </c:pt>
                      <c:pt idx="167" formatCode="#,##0">
                        <c:v>3250</c:v>
                      </c:pt>
                      <c:pt idx="168" formatCode="#,##0">
                        <c:v>3250</c:v>
                      </c:pt>
                      <c:pt idx="169" formatCode="#,##0">
                        <c:v>3250</c:v>
                      </c:pt>
                      <c:pt idx="170" formatCode="#,##0">
                        <c:v>3250</c:v>
                      </c:pt>
                      <c:pt idx="171" formatCode="#,##0">
                        <c:v>3250</c:v>
                      </c:pt>
                      <c:pt idx="172" formatCode="#,##0">
                        <c:v>3250</c:v>
                      </c:pt>
                      <c:pt idx="173" formatCode="#,##0">
                        <c:v>3250</c:v>
                      </c:pt>
                      <c:pt idx="174" formatCode="#,##0">
                        <c:v>3250</c:v>
                      </c:pt>
                      <c:pt idx="175" formatCode="#,##0">
                        <c:v>3250</c:v>
                      </c:pt>
                      <c:pt idx="176" formatCode="#,##0">
                        <c:v>3250</c:v>
                      </c:pt>
                      <c:pt idx="177" formatCode="#,##0">
                        <c:v>3250</c:v>
                      </c:pt>
                      <c:pt idx="178" formatCode="#,##0">
                        <c:v>3250</c:v>
                      </c:pt>
                      <c:pt idx="179" formatCode="#,##0">
                        <c:v>3250</c:v>
                      </c:pt>
                      <c:pt idx="180" formatCode="#,##0">
                        <c:v>3250</c:v>
                      </c:pt>
                      <c:pt idx="181" formatCode="#,##0">
                        <c:v>3250</c:v>
                      </c:pt>
                      <c:pt idx="182" formatCode="#,##0">
                        <c:v>3250</c:v>
                      </c:pt>
                      <c:pt idx="183" formatCode="#,##0">
                        <c:v>3250</c:v>
                      </c:pt>
                      <c:pt idx="184" formatCode="#,##0">
                        <c:v>3250</c:v>
                      </c:pt>
                      <c:pt idx="185" formatCode="#,##0">
                        <c:v>3250</c:v>
                      </c:pt>
                      <c:pt idx="186" formatCode="#,##0">
                        <c:v>3250</c:v>
                      </c:pt>
                      <c:pt idx="187" formatCode="#,##0">
                        <c:v>3250</c:v>
                      </c:pt>
                      <c:pt idx="188" formatCode="#,##0">
                        <c:v>3250</c:v>
                      </c:pt>
                      <c:pt idx="189" formatCode="#,##0">
                        <c:v>3250</c:v>
                      </c:pt>
                      <c:pt idx="190" formatCode="#,##0">
                        <c:v>3250</c:v>
                      </c:pt>
                      <c:pt idx="191" formatCode="#,##0">
                        <c:v>3250</c:v>
                      </c:pt>
                      <c:pt idx="192" formatCode="#,##0">
                        <c:v>3250</c:v>
                      </c:pt>
                      <c:pt idx="193" formatCode="#,##0">
                        <c:v>3250</c:v>
                      </c:pt>
                      <c:pt idx="194" formatCode="#,##0">
                        <c:v>3250</c:v>
                      </c:pt>
                      <c:pt idx="195" formatCode="#,##0">
                        <c:v>3250</c:v>
                      </c:pt>
                      <c:pt idx="196" formatCode="#,##0">
                        <c:v>3250</c:v>
                      </c:pt>
                      <c:pt idx="197" formatCode="#,##0">
                        <c:v>3250</c:v>
                      </c:pt>
                      <c:pt idx="198" formatCode="#,##0">
                        <c:v>3250</c:v>
                      </c:pt>
                      <c:pt idx="199" formatCode="#,##0">
                        <c:v>3250</c:v>
                      </c:pt>
                      <c:pt idx="200" formatCode="#,##0">
                        <c:v>3250</c:v>
                      </c:pt>
                      <c:pt idx="201" formatCode="#,##0">
                        <c:v>3250</c:v>
                      </c:pt>
                      <c:pt idx="202" formatCode="#,##0">
                        <c:v>3250</c:v>
                      </c:pt>
                      <c:pt idx="203" formatCode="#,##0">
                        <c:v>3250</c:v>
                      </c:pt>
                      <c:pt idx="204" formatCode="#,##0">
                        <c:v>3250</c:v>
                      </c:pt>
                      <c:pt idx="205" formatCode="#,##0">
                        <c:v>3250</c:v>
                      </c:pt>
                      <c:pt idx="206" formatCode="#,##0">
                        <c:v>3250</c:v>
                      </c:pt>
                      <c:pt idx="207" formatCode="#,##0">
                        <c:v>3250</c:v>
                      </c:pt>
                      <c:pt idx="208" formatCode="#,##0">
                        <c:v>3250</c:v>
                      </c:pt>
                      <c:pt idx="209" formatCode="#,##0">
                        <c:v>3250</c:v>
                      </c:pt>
                      <c:pt idx="210" formatCode="#,##0">
                        <c:v>3250</c:v>
                      </c:pt>
                      <c:pt idx="211" formatCode="#,##0">
                        <c:v>3250</c:v>
                      </c:pt>
                    </c:numCache>
                  </c:numRef>
                </c:yVal>
                <c:smooth val="1"/>
                <c:extLst xmlns:c15="http://schemas.microsoft.com/office/drawing/2012/chart">
                  <c:ext xmlns:c16="http://schemas.microsoft.com/office/drawing/2014/chart" uri="{C3380CC4-5D6E-409C-BE32-E72D297353CC}">
                    <c16:uniqueId val="{00000003-F4D6-4B7D-AC3E-72CDFF887A3D}"/>
                  </c:ext>
                </c:extLst>
              </c15:ser>
            </c15:filteredScatterSeries>
          </c:ext>
        </c:extLst>
      </c:scatterChart>
      <c:valAx>
        <c:axId val="130573520"/>
        <c:scaling>
          <c:orientation val="minMax"/>
          <c:max val="46390"/>
          <c:min val="46235"/>
        </c:scaling>
        <c:delete val="0"/>
        <c:axPos val="b"/>
        <c:majorGridlines>
          <c:spPr>
            <a:ln w="9525" cap="flat" cmpd="sng" algn="ctr">
              <a:solidFill>
                <a:schemeClr val="tx1">
                  <a:lumMod val="15000"/>
                  <a:lumOff val="85000"/>
                </a:schemeClr>
              </a:solidFill>
              <a:round/>
            </a:ln>
            <a:effectLst/>
          </c:spPr>
        </c:majorGridlines>
        <c:numFmt formatCode="[$-409]d\-mmm\-yy;@"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45200"/>
        <c:crosses val="autoZero"/>
        <c:crossBetween val="midCat"/>
        <c:majorUnit val="31"/>
      </c:valAx>
      <c:valAx>
        <c:axId val="130545200"/>
        <c:scaling>
          <c:orientation val="minMax"/>
          <c:max val="14000"/>
          <c:min val="3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73520"/>
        <c:crosses val="autoZero"/>
        <c:crossBetween val="midCat"/>
        <c:majorUnit val="100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4D33800-CE90-42EF-8DBE-41B375C6FC84}">
  <sheetPr/>
  <sheetViews>
    <sheetView zoomScale="130"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60423" cy="6286500"/>
    <xdr:graphicFrame macro="">
      <xdr:nvGraphicFramePr>
        <xdr:cNvPr id="2" name="Chart 1">
          <a:extLst>
            <a:ext uri="{FF2B5EF4-FFF2-40B4-BE49-F238E27FC236}">
              <a16:creationId xmlns:a16="http://schemas.microsoft.com/office/drawing/2014/main" id="{ABBC95B9-6CB0-E9B7-1E98-66CDA135727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F913D-D65F-410C-AA01-380ED7A717E6}">
  <dimension ref="A1:P240"/>
  <sheetViews>
    <sheetView tabSelected="1" zoomScale="120" zoomScaleNormal="120" workbookViewId="0">
      <pane xSplit="2" ySplit="2" topLeftCell="C225" activePane="bottomRight" state="frozen"/>
      <selection pane="topRight" activeCell="C1" sqref="C1"/>
      <selection pane="bottomLeft" activeCell="A3" sqref="A3"/>
      <selection pane="bottomRight" activeCell="H238" sqref="H238"/>
    </sheetView>
  </sheetViews>
  <sheetFormatPr defaultColWidth="8.5546875" defaultRowHeight="14.4" x14ac:dyDescent="0.3"/>
  <cols>
    <col min="1" max="1" width="29.44140625" customWidth="1"/>
    <col min="2" max="2" width="11.6640625" customWidth="1"/>
    <col min="3" max="14" width="10.6640625" customWidth="1"/>
    <col min="15" max="15" width="5.44140625" customWidth="1"/>
    <col min="16" max="16" width="8.5546875" bestFit="1" customWidth="1"/>
  </cols>
  <sheetData>
    <row r="1" spans="1:16" ht="15.6" x14ac:dyDescent="0.3">
      <c r="A1" s="16" t="s">
        <v>0</v>
      </c>
      <c r="B1" s="17"/>
    </row>
    <row r="2" spans="1:16" s="18" customFormat="1" x14ac:dyDescent="0.3">
      <c r="A2" s="18" t="s">
        <v>1</v>
      </c>
      <c r="B2" s="34" t="s">
        <v>2</v>
      </c>
      <c r="C2" s="13" t="s">
        <v>38</v>
      </c>
      <c r="D2" s="13" t="s">
        <v>39</v>
      </c>
      <c r="E2" s="13" t="s">
        <v>40</v>
      </c>
      <c r="F2" s="13" t="s">
        <v>42</v>
      </c>
      <c r="G2" s="13" t="s">
        <v>53</v>
      </c>
      <c r="H2" s="13" t="s">
        <v>60</v>
      </c>
      <c r="I2" s="13" t="s">
        <v>55</v>
      </c>
      <c r="J2" s="13"/>
      <c r="K2" s="13"/>
      <c r="L2" s="13"/>
      <c r="M2" s="13"/>
      <c r="N2" s="13"/>
      <c r="O2" s="13"/>
      <c r="P2" t="s">
        <v>3</v>
      </c>
    </row>
    <row r="3" spans="1:16" s="18" customFormat="1" x14ac:dyDescent="0.3">
      <c r="A3" s="26">
        <v>46235</v>
      </c>
      <c r="B3" s="34">
        <v>12939</v>
      </c>
      <c r="C3"/>
      <c r="D3"/>
      <c r="E3" s="10"/>
      <c r="F3" s="10"/>
      <c r="G3" s="10"/>
      <c r="H3" s="10"/>
      <c r="I3" s="10"/>
      <c r="J3" s="10"/>
      <c r="K3" s="10"/>
      <c r="L3" s="35"/>
      <c r="O3" s="10"/>
      <c r="P3">
        <f t="shared" ref="P3:P66" ca="1" si="0">IF(TODAY()&gt;A3,-100,10000000)</f>
        <v>-100</v>
      </c>
    </row>
    <row r="4" spans="1:16" s="18" customFormat="1" x14ac:dyDescent="0.3">
      <c r="A4" s="26">
        <f>A3+1</f>
        <v>46236</v>
      </c>
      <c r="B4" s="34">
        <v>13066</v>
      </c>
      <c r="C4"/>
      <c r="D4"/>
      <c r="E4" s="10"/>
      <c r="F4" s="10"/>
      <c r="G4" s="10"/>
      <c r="H4" s="10"/>
      <c r="I4" s="10"/>
      <c r="J4" s="10"/>
      <c r="K4" s="10"/>
      <c r="L4" s="35"/>
      <c r="O4" s="10"/>
      <c r="P4">
        <f t="shared" ca="1" si="0"/>
        <v>-100</v>
      </c>
    </row>
    <row r="5" spans="1:16" s="18" customFormat="1" x14ac:dyDescent="0.3">
      <c r="A5" s="26">
        <f t="shared" ref="A5:A68" si="1">A4+1</f>
        <v>46237</v>
      </c>
      <c r="B5" s="34">
        <v>13033</v>
      </c>
      <c r="C5"/>
      <c r="D5"/>
      <c r="E5" s="10"/>
      <c r="F5" s="10"/>
      <c r="G5" s="10"/>
      <c r="H5" s="10"/>
      <c r="I5" s="10"/>
      <c r="J5" s="10"/>
      <c r="K5" s="10"/>
      <c r="L5" s="35"/>
      <c r="O5" s="10"/>
      <c r="P5">
        <f t="shared" ca="1" si="0"/>
        <v>-100</v>
      </c>
    </row>
    <row r="6" spans="1:16" s="18" customFormat="1" x14ac:dyDescent="0.3">
      <c r="A6" s="26">
        <f t="shared" si="1"/>
        <v>46238</v>
      </c>
      <c r="B6" s="34">
        <v>13079</v>
      </c>
      <c r="C6"/>
      <c r="D6"/>
      <c r="E6" s="10"/>
      <c r="F6" s="10"/>
      <c r="G6" s="10"/>
      <c r="H6" s="10"/>
      <c r="I6" s="10"/>
      <c r="J6" s="10"/>
      <c r="K6" s="10"/>
      <c r="L6" s="35"/>
      <c r="O6" s="10"/>
      <c r="P6">
        <f t="shared" ca="1" si="0"/>
        <v>-100</v>
      </c>
    </row>
    <row r="7" spans="1:16" s="18" customFormat="1" x14ac:dyDescent="0.3">
      <c r="A7" s="26">
        <f t="shared" si="1"/>
        <v>46239</v>
      </c>
      <c r="B7" s="34">
        <v>13075</v>
      </c>
      <c r="C7"/>
      <c r="D7"/>
      <c r="E7" s="10"/>
      <c r="F7" s="10"/>
      <c r="G7" s="10"/>
      <c r="H7" s="10"/>
      <c r="I7" s="10"/>
      <c r="J7" s="10"/>
      <c r="K7" s="10"/>
      <c r="L7" s="35"/>
      <c r="O7" s="10"/>
      <c r="P7">
        <f t="shared" ca="1" si="0"/>
        <v>-100</v>
      </c>
    </row>
    <row r="8" spans="1:16" s="18" customFormat="1" x14ac:dyDescent="0.3">
      <c r="A8" s="26">
        <f t="shared" si="1"/>
        <v>46240</v>
      </c>
      <c r="B8" s="34">
        <v>13074</v>
      </c>
      <c r="C8"/>
      <c r="D8"/>
      <c r="E8" s="10"/>
      <c r="F8" s="10"/>
      <c r="G8" s="10"/>
      <c r="H8" s="10"/>
      <c r="I8" s="10"/>
      <c r="J8" s="10"/>
      <c r="K8" s="10"/>
      <c r="L8" s="35"/>
      <c r="O8" s="10"/>
      <c r="P8">
        <f t="shared" ca="1" si="0"/>
        <v>-100</v>
      </c>
    </row>
    <row r="9" spans="1:16" s="18" customFormat="1" x14ac:dyDescent="0.3">
      <c r="A9" s="26">
        <f t="shared" si="1"/>
        <v>46241</v>
      </c>
      <c r="B9" s="34">
        <v>13090</v>
      </c>
      <c r="C9"/>
      <c r="D9"/>
      <c r="E9" s="10"/>
      <c r="F9" s="10"/>
      <c r="G9" s="10"/>
      <c r="H9" s="10"/>
      <c r="I9" s="10"/>
      <c r="J9" s="10"/>
      <c r="K9" s="10"/>
      <c r="L9" s="35"/>
      <c r="O9" s="10"/>
      <c r="P9">
        <f t="shared" ca="1" si="0"/>
        <v>-100</v>
      </c>
    </row>
    <row r="10" spans="1:16" s="18" customFormat="1" x14ac:dyDescent="0.3">
      <c r="A10" s="26">
        <f t="shared" si="1"/>
        <v>46242</v>
      </c>
      <c r="B10" s="34">
        <v>13133</v>
      </c>
      <c r="C10"/>
      <c r="D10"/>
      <c r="E10" s="10"/>
      <c r="F10" s="10"/>
      <c r="G10" s="10"/>
      <c r="H10" s="10"/>
      <c r="I10" s="10"/>
      <c r="J10" s="10"/>
      <c r="K10" s="10"/>
      <c r="L10" s="35"/>
      <c r="O10" s="10"/>
      <c r="P10">
        <f t="shared" ca="1" si="0"/>
        <v>-100</v>
      </c>
    </row>
    <row r="11" spans="1:16" s="18" customFormat="1" x14ac:dyDescent="0.3">
      <c r="A11" s="26">
        <f t="shared" si="1"/>
        <v>46243</v>
      </c>
      <c r="B11" s="34">
        <v>13148</v>
      </c>
      <c r="C11"/>
      <c r="D11"/>
      <c r="E11" s="10"/>
      <c r="F11" s="10"/>
      <c r="G11" s="10"/>
      <c r="H11" s="10"/>
      <c r="I11" s="10"/>
      <c r="J11" s="10"/>
      <c r="K11" s="10"/>
      <c r="L11" s="35"/>
      <c r="O11" s="10"/>
      <c r="P11">
        <f t="shared" ca="1" si="0"/>
        <v>-100</v>
      </c>
    </row>
    <row r="12" spans="1:16" s="18" customFormat="1" x14ac:dyDescent="0.3">
      <c r="A12" s="26">
        <f t="shared" si="1"/>
        <v>46244</v>
      </c>
      <c r="B12" s="34">
        <v>13139</v>
      </c>
      <c r="C12"/>
      <c r="D12"/>
      <c r="E12" s="10"/>
      <c r="F12" s="10"/>
      <c r="G12" s="10"/>
      <c r="H12" s="10"/>
      <c r="I12" s="10"/>
      <c r="J12" s="10"/>
      <c r="K12" s="10"/>
      <c r="L12" s="35"/>
      <c r="O12" s="10"/>
      <c r="P12">
        <f t="shared" ca="1" si="0"/>
        <v>-100</v>
      </c>
    </row>
    <row r="13" spans="1:16" s="18" customFormat="1" x14ac:dyDescent="0.3">
      <c r="A13" s="26">
        <f t="shared" si="1"/>
        <v>46245</v>
      </c>
      <c r="B13" s="34">
        <v>13100</v>
      </c>
      <c r="C13"/>
      <c r="D13"/>
      <c r="E13" s="10"/>
      <c r="F13" s="10"/>
      <c r="G13" s="10"/>
      <c r="H13" s="10"/>
      <c r="I13" s="10"/>
      <c r="J13" s="10"/>
      <c r="K13" s="10"/>
      <c r="L13" s="35"/>
      <c r="O13" s="10"/>
      <c r="P13">
        <f t="shared" ca="1" si="0"/>
        <v>-100</v>
      </c>
    </row>
    <row r="14" spans="1:16" s="18" customFormat="1" x14ac:dyDescent="0.3">
      <c r="A14" s="26">
        <f t="shared" si="1"/>
        <v>46246</v>
      </c>
      <c r="B14" s="34">
        <v>13105</v>
      </c>
      <c r="C14"/>
      <c r="D14"/>
      <c r="E14" s="10"/>
      <c r="F14" s="10"/>
      <c r="G14" s="10"/>
      <c r="H14" s="10"/>
      <c r="I14" s="10"/>
      <c r="J14" s="10"/>
      <c r="K14" s="10"/>
      <c r="L14" s="35"/>
      <c r="O14" s="10"/>
      <c r="P14">
        <f t="shared" ca="1" si="0"/>
        <v>-100</v>
      </c>
    </row>
    <row r="15" spans="1:16" s="18" customFormat="1" x14ac:dyDescent="0.3">
      <c r="A15" s="26">
        <f t="shared" si="1"/>
        <v>46247</v>
      </c>
      <c r="B15" s="34">
        <v>12450</v>
      </c>
      <c r="C15"/>
      <c r="D15"/>
      <c r="E15" s="10"/>
      <c r="F15" s="10"/>
      <c r="G15" s="10"/>
      <c r="H15" s="10"/>
      <c r="I15" s="10"/>
      <c r="J15" s="10"/>
      <c r="K15" s="10"/>
      <c r="L15" s="35"/>
      <c r="O15" s="10"/>
      <c r="P15">
        <f t="shared" ca="1" si="0"/>
        <v>-100</v>
      </c>
    </row>
    <row r="16" spans="1:16" s="18" customFormat="1" x14ac:dyDescent="0.3">
      <c r="A16" s="26">
        <f t="shared" si="1"/>
        <v>46248</v>
      </c>
      <c r="B16" s="34">
        <v>12021</v>
      </c>
      <c r="C16"/>
      <c r="D16"/>
      <c r="E16" s="10"/>
      <c r="F16" s="10"/>
      <c r="G16" s="10"/>
      <c r="H16" s="10"/>
      <c r="I16" s="10"/>
      <c r="J16" s="10"/>
      <c r="K16" s="10"/>
      <c r="L16" s="35"/>
      <c r="O16" s="10"/>
      <c r="P16">
        <f t="shared" ca="1" si="0"/>
        <v>-100</v>
      </c>
    </row>
    <row r="17" spans="1:16" s="18" customFormat="1" x14ac:dyDescent="0.3">
      <c r="A17" s="26">
        <f t="shared" si="1"/>
        <v>46249</v>
      </c>
      <c r="B17" s="34">
        <v>11529</v>
      </c>
      <c r="C17"/>
      <c r="D17"/>
      <c r="E17" s="10"/>
      <c r="F17" s="10"/>
      <c r="G17" s="10"/>
      <c r="H17" s="10"/>
      <c r="I17" s="10"/>
      <c r="J17" s="10"/>
      <c r="K17" s="10"/>
      <c r="L17" s="35"/>
      <c r="O17" s="10"/>
      <c r="P17">
        <f t="shared" ca="1" si="0"/>
        <v>-100</v>
      </c>
    </row>
    <row r="18" spans="1:16" s="18" customFormat="1" x14ac:dyDescent="0.3">
      <c r="A18" s="26">
        <f t="shared" si="1"/>
        <v>46250</v>
      </c>
      <c r="B18" s="34">
        <v>10964</v>
      </c>
      <c r="C18"/>
      <c r="D18"/>
      <c r="E18" s="10"/>
      <c r="F18" s="10"/>
      <c r="G18" s="10"/>
      <c r="H18" s="10"/>
      <c r="I18" s="10"/>
      <c r="J18" s="10"/>
      <c r="K18" s="10"/>
      <c r="L18" s="35"/>
      <c r="O18" s="10"/>
      <c r="P18">
        <f t="shared" ca="1" si="0"/>
        <v>-100</v>
      </c>
    </row>
    <row r="19" spans="1:16" s="18" customFormat="1" x14ac:dyDescent="0.3">
      <c r="A19" s="26">
        <f t="shared" si="1"/>
        <v>46251</v>
      </c>
      <c r="B19" s="34">
        <v>10948</v>
      </c>
      <c r="C19"/>
      <c r="D19"/>
      <c r="E19" s="10"/>
      <c r="F19" s="10"/>
      <c r="G19" s="10"/>
      <c r="H19" s="10"/>
      <c r="I19" s="10"/>
      <c r="J19" s="10"/>
      <c r="K19" s="10"/>
      <c r="L19" s="35"/>
      <c r="O19" s="27"/>
      <c r="P19">
        <f t="shared" ca="1" si="0"/>
        <v>-100</v>
      </c>
    </row>
    <row r="20" spans="1:16" s="18" customFormat="1" x14ac:dyDescent="0.3">
      <c r="A20" s="26">
        <f t="shared" si="1"/>
        <v>46252</v>
      </c>
      <c r="B20" s="34">
        <v>10939</v>
      </c>
      <c r="C20"/>
      <c r="D20"/>
      <c r="E20" s="10"/>
      <c r="F20" s="10"/>
      <c r="G20" s="10"/>
      <c r="H20" s="10"/>
      <c r="I20" s="10"/>
      <c r="J20" s="10"/>
      <c r="K20" s="10"/>
      <c r="L20" s="35"/>
      <c r="O20" s="27"/>
      <c r="P20">
        <f t="shared" ca="1" si="0"/>
        <v>-100</v>
      </c>
    </row>
    <row r="21" spans="1:16" s="18" customFormat="1" x14ac:dyDescent="0.3">
      <c r="A21" s="26">
        <f t="shared" si="1"/>
        <v>46253</v>
      </c>
      <c r="B21" s="34">
        <v>10681</v>
      </c>
      <c r="C21"/>
      <c r="D21"/>
      <c r="E21" s="10"/>
      <c r="F21" s="10"/>
      <c r="G21" s="10"/>
      <c r="H21" s="10"/>
      <c r="I21" s="10"/>
      <c r="J21" s="10"/>
      <c r="K21" s="10"/>
      <c r="L21" s="35"/>
      <c r="O21" s="27"/>
      <c r="P21">
        <f t="shared" ca="1" si="0"/>
        <v>-100</v>
      </c>
    </row>
    <row r="22" spans="1:16" s="18" customFormat="1" x14ac:dyDescent="0.3">
      <c r="A22" s="26">
        <f t="shared" si="1"/>
        <v>46254</v>
      </c>
      <c r="B22" s="34">
        <v>10113</v>
      </c>
      <c r="C22"/>
      <c r="D22"/>
      <c r="E22" s="10"/>
      <c r="F22" s="10"/>
      <c r="G22" s="10"/>
      <c r="H22" s="10"/>
      <c r="I22" s="10"/>
      <c r="J22" s="10"/>
      <c r="K22" s="10"/>
      <c r="L22" s="35"/>
      <c r="O22" s="27"/>
      <c r="P22">
        <f t="shared" ca="1" si="0"/>
        <v>-100</v>
      </c>
    </row>
    <row r="23" spans="1:16" s="18" customFormat="1" x14ac:dyDescent="0.3">
      <c r="A23" s="26">
        <f t="shared" si="1"/>
        <v>46255</v>
      </c>
      <c r="B23" s="34">
        <v>10090</v>
      </c>
      <c r="C23"/>
      <c r="D23"/>
      <c r="E23" s="10"/>
      <c r="F23" s="10"/>
      <c r="G23" s="10"/>
      <c r="H23" s="10"/>
      <c r="I23" s="10"/>
      <c r="J23" s="10"/>
      <c r="K23" s="10"/>
      <c r="L23" s="35"/>
      <c r="O23" s="27"/>
      <c r="P23">
        <f t="shared" ca="1" si="0"/>
        <v>-100</v>
      </c>
    </row>
    <row r="24" spans="1:16" s="18" customFormat="1" x14ac:dyDescent="0.3">
      <c r="A24" s="26">
        <f t="shared" si="1"/>
        <v>46256</v>
      </c>
      <c r="B24" s="34">
        <v>9999</v>
      </c>
      <c r="C24"/>
      <c r="D24"/>
      <c r="E24" s="10"/>
      <c r="F24" s="10"/>
      <c r="G24" s="10"/>
      <c r="H24" s="10"/>
      <c r="I24" s="10"/>
      <c r="J24" s="10"/>
      <c r="K24" s="10"/>
      <c r="L24" s="35"/>
      <c r="O24" s="27"/>
      <c r="P24">
        <f t="shared" ca="1" si="0"/>
        <v>-100</v>
      </c>
    </row>
    <row r="25" spans="1:16" s="18" customFormat="1" x14ac:dyDescent="0.3">
      <c r="A25" s="26">
        <f t="shared" si="1"/>
        <v>46257</v>
      </c>
      <c r="B25" s="34">
        <v>10066</v>
      </c>
      <c r="C25"/>
      <c r="D25"/>
      <c r="E25" s="10"/>
      <c r="F25" s="10"/>
      <c r="G25" s="10"/>
      <c r="H25" s="10"/>
      <c r="I25" s="10"/>
      <c r="J25" s="10"/>
      <c r="K25" s="10"/>
      <c r="L25" s="35"/>
      <c r="O25"/>
      <c r="P25">
        <f t="shared" ca="1" si="0"/>
        <v>-100</v>
      </c>
    </row>
    <row r="26" spans="1:16" s="18" customFormat="1" x14ac:dyDescent="0.3">
      <c r="A26" s="26">
        <f t="shared" si="1"/>
        <v>46258</v>
      </c>
      <c r="B26" s="34">
        <v>10071</v>
      </c>
      <c r="C26"/>
      <c r="D26"/>
      <c r="E26" s="10"/>
      <c r="F26" s="10"/>
      <c r="G26" s="10"/>
      <c r="H26" s="10"/>
      <c r="I26" s="10"/>
      <c r="J26" s="10"/>
      <c r="K26" s="10"/>
      <c r="L26" s="35"/>
      <c r="O26"/>
      <c r="P26">
        <f t="shared" ca="1" si="0"/>
        <v>-100</v>
      </c>
    </row>
    <row r="27" spans="1:16" s="18" customFormat="1" x14ac:dyDescent="0.3">
      <c r="A27" s="26">
        <f t="shared" si="1"/>
        <v>46259</v>
      </c>
      <c r="B27" s="39">
        <v>10077</v>
      </c>
      <c r="C27"/>
      <c r="D27"/>
      <c r="E27" s="10"/>
      <c r="F27" s="10"/>
      <c r="G27" s="10"/>
      <c r="H27" s="10"/>
      <c r="I27" s="10"/>
      <c r="J27" s="10"/>
      <c r="K27" s="10"/>
      <c r="L27" s="35"/>
      <c r="O27"/>
      <c r="P27">
        <f t="shared" ca="1" si="0"/>
        <v>-100</v>
      </c>
    </row>
    <row r="28" spans="1:16" s="18" customFormat="1" x14ac:dyDescent="0.3">
      <c r="A28" s="26">
        <f t="shared" si="1"/>
        <v>46260</v>
      </c>
      <c r="B28" s="39">
        <v>9503</v>
      </c>
      <c r="C28"/>
      <c r="D28"/>
      <c r="E28" s="10"/>
      <c r="F28" s="10"/>
      <c r="G28" s="10"/>
      <c r="H28" s="10"/>
      <c r="I28" s="10"/>
      <c r="J28" s="10"/>
      <c r="K28" s="10"/>
      <c r="L28" s="35"/>
      <c r="O28"/>
      <c r="P28">
        <f t="shared" ca="1" si="0"/>
        <v>-100</v>
      </c>
    </row>
    <row r="29" spans="1:16" s="18" customFormat="1" x14ac:dyDescent="0.3">
      <c r="A29" s="26">
        <f t="shared" si="1"/>
        <v>46261</v>
      </c>
      <c r="B29" s="39">
        <v>9485</v>
      </c>
      <c r="C29"/>
      <c r="D29"/>
      <c r="E29" s="10"/>
      <c r="F29" s="10"/>
      <c r="G29" s="10"/>
      <c r="H29" s="10"/>
      <c r="I29" s="10"/>
      <c r="J29" s="10"/>
      <c r="K29" s="10"/>
      <c r="L29" s="35"/>
      <c r="O29"/>
      <c r="P29">
        <f t="shared" ca="1" si="0"/>
        <v>-100</v>
      </c>
    </row>
    <row r="30" spans="1:16" s="18" customFormat="1" x14ac:dyDescent="0.3">
      <c r="A30" s="26">
        <f t="shared" si="1"/>
        <v>46262</v>
      </c>
      <c r="B30" s="39">
        <v>9005</v>
      </c>
      <c r="C30"/>
      <c r="D30"/>
      <c r="E30" s="10"/>
      <c r="F30" s="10"/>
      <c r="G30" s="10"/>
      <c r="H30" s="10"/>
      <c r="I30" s="10"/>
      <c r="J30" s="10"/>
      <c r="K30" s="10"/>
      <c r="L30" s="10"/>
      <c r="O30"/>
      <c r="P30">
        <f t="shared" ca="1" si="0"/>
        <v>-100</v>
      </c>
    </row>
    <row r="31" spans="1:16" s="18" customFormat="1" x14ac:dyDescent="0.3">
      <c r="A31" s="26">
        <f t="shared" si="1"/>
        <v>46263</v>
      </c>
      <c r="B31" s="39">
        <v>8965</v>
      </c>
      <c r="C31"/>
      <c r="D31"/>
      <c r="E31" s="10"/>
      <c r="F31" s="10"/>
      <c r="G31" s="10"/>
      <c r="H31" s="10"/>
      <c r="I31" s="10"/>
      <c r="J31" s="10"/>
      <c r="K31" s="10"/>
      <c r="L31" s="10"/>
      <c r="O31"/>
      <c r="P31">
        <f t="shared" ca="1" si="0"/>
        <v>-100</v>
      </c>
    </row>
    <row r="32" spans="1:16" s="18" customFormat="1" x14ac:dyDescent="0.3">
      <c r="A32" s="26">
        <f t="shared" si="1"/>
        <v>46264</v>
      </c>
      <c r="B32" s="39">
        <v>8519</v>
      </c>
      <c r="C32"/>
      <c r="D32"/>
      <c r="E32" s="10"/>
      <c r="F32" s="10"/>
      <c r="G32" s="10"/>
      <c r="H32" s="10"/>
      <c r="I32" s="10"/>
      <c r="J32" s="10"/>
      <c r="K32" s="10"/>
      <c r="L32" s="10"/>
      <c r="O32"/>
      <c r="P32">
        <f t="shared" ca="1" si="0"/>
        <v>-100</v>
      </c>
    </row>
    <row r="33" spans="1:16" s="18" customFormat="1" x14ac:dyDescent="0.3">
      <c r="A33" s="44">
        <f t="shared" si="1"/>
        <v>46265</v>
      </c>
      <c r="B33" s="46">
        <v>8031</v>
      </c>
      <c r="C33"/>
      <c r="D33"/>
      <c r="E33" s="10"/>
      <c r="F33" s="10"/>
      <c r="G33" s="20"/>
      <c r="H33" s="20"/>
      <c r="I33" s="10"/>
      <c r="J33" s="10"/>
      <c r="K33" s="10"/>
      <c r="L33" s="10"/>
      <c r="O33"/>
      <c r="P33">
        <f t="shared" ca="1" si="0"/>
        <v>-100</v>
      </c>
    </row>
    <row r="34" spans="1:16" s="18" customFormat="1" x14ac:dyDescent="0.3">
      <c r="A34" s="26">
        <f t="shared" si="1"/>
        <v>46266</v>
      </c>
      <c r="B34" s="39">
        <v>7992</v>
      </c>
      <c r="C34">
        <v>8000</v>
      </c>
      <c r="D34">
        <v>7100</v>
      </c>
      <c r="E34" s="10">
        <v>8000</v>
      </c>
      <c r="F34" s="10">
        <v>8000</v>
      </c>
      <c r="G34" s="10">
        <v>8000</v>
      </c>
      <c r="H34" s="13">
        <v>7992</v>
      </c>
      <c r="I34" s="13">
        <v>7992</v>
      </c>
      <c r="J34" s="36"/>
      <c r="K34" s="36"/>
      <c r="L34" s="36"/>
      <c r="M34" s="36"/>
      <c r="N34" s="36"/>
      <c r="O34"/>
      <c r="P34">
        <f t="shared" ca="1" si="0"/>
        <v>-100</v>
      </c>
    </row>
    <row r="35" spans="1:16" s="18" customFormat="1" x14ac:dyDescent="0.3">
      <c r="A35" s="26">
        <f t="shared" si="1"/>
        <v>46267</v>
      </c>
      <c r="B35" s="39">
        <v>7971</v>
      </c>
      <c r="C35">
        <v>8000</v>
      </c>
      <c r="D35">
        <v>7100</v>
      </c>
      <c r="E35" s="10">
        <v>8000</v>
      </c>
      <c r="F35" s="10">
        <v>8000</v>
      </c>
      <c r="G35" s="10">
        <v>8000</v>
      </c>
      <c r="H35" s="13">
        <v>7971</v>
      </c>
      <c r="I35" s="13">
        <v>7971</v>
      </c>
      <c r="J35" s="10"/>
      <c r="K35" s="10"/>
      <c r="L35" s="10"/>
      <c r="M35" s="10"/>
      <c r="N35" s="10"/>
      <c r="O35"/>
      <c r="P35">
        <f t="shared" ca="1" si="0"/>
        <v>-100</v>
      </c>
    </row>
    <row r="36" spans="1:16" s="18" customFormat="1" x14ac:dyDescent="0.3">
      <c r="A36" s="26">
        <f t="shared" si="1"/>
        <v>46268</v>
      </c>
      <c r="B36" s="39">
        <v>7624</v>
      </c>
      <c r="C36">
        <v>8000</v>
      </c>
      <c r="D36">
        <v>7100</v>
      </c>
      <c r="E36" s="10">
        <v>8000</v>
      </c>
      <c r="F36" s="10">
        <v>8000</v>
      </c>
      <c r="G36" s="10">
        <v>8000</v>
      </c>
      <c r="H36" s="13">
        <v>7624</v>
      </c>
      <c r="I36" s="13">
        <v>7624</v>
      </c>
      <c r="J36" s="10"/>
      <c r="K36" s="10"/>
      <c r="L36" s="10"/>
      <c r="M36" s="10"/>
      <c r="N36" s="10"/>
      <c r="O36"/>
      <c r="P36">
        <f t="shared" ca="1" si="0"/>
        <v>-100</v>
      </c>
    </row>
    <row r="37" spans="1:16" s="18" customFormat="1" x14ac:dyDescent="0.3">
      <c r="A37" s="26">
        <f t="shared" si="1"/>
        <v>46269</v>
      </c>
      <c r="B37" s="39">
        <v>7773</v>
      </c>
      <c r="C37">
        <v>8000</v>
      </c>
      <c r="D37">
        <v>7100</v>
      </c>
      <c r="E37" s="10">
        <v>8000</v>
      </c>
      <c r="F37" s="10">
        <v>8000</v>
      </c>
      <c r="G37" s="10">
        <v>8000</v>
      </c>
      <c r="H37" s="13">
        <v>7773</v>
      </c>
      <c r="I37" s="13">
        <v>7773</v>
      </c>
      <c r="J37" s="10"/>
      <c r="K37" s="10"/>
      <c r="L37" s="10"/>
      <c r="M37" s="10"/>
      <c r="N37" s="10"/>
      <c r="O37"/>
      <c r="P37">
        <f t="shared" ca="1" si="0"/>
        <v>-100</v>
      </c>
    </row>
    <row r="38" spans="1:16" s="18" customFormat="1" x14ac:dyDescent="0.3">
      <c r="A38" s="26">
        <f t="shared" si="1"/>
        <v>46270</v>
      </c>
      <c r="B38" s="39">
        <v>7394</v>
      </c>
      <c r="C38">
        <v>8000</v>
      </c>
      <c r="D38">
        <v>7100</v>
      </c>
      <c r="E38" s="10">
        <v>8000</v>
      </c>
      <c r="F38" s="10">
        <v>8000</v>
      </c>
      <c r="G38" s="10">
        <v>8000</v>
      </c>
      <c r="H38" s="13">
        <v>7394</v>
      </c>
      <c r="I38" s="13">
        <v>7394</v>
      </c>
      <c r="J38" s="10"/>
      <c r="K38" s="10"/>
      <c r="L38" s="10"/>
      <c r="M38" s="10"/>
      <c r="N38" s="10"/>
      <c r="O38"/>
      <c r="P38">
        <f t="shared" ca="1" si="0"/>
        <v>-100</v>
      </c>
    </row>
    <row r="39" spans="1:16" x14ac:dyDescent="0.3">
      <c r="A39" s="26">
        <f t="shared" si="1"/>
        <v>46271</v>
      </c>
      <c r="B39" s="39">
        <v>7395</v>
      </c>
      <c r="C39">
        <v>8000</v>
      </c>
      <c r="D39">
        <v>7100</v>
      </c>
      <c r="E39" s="10">
        <v>8000</v>
      </c>
      <c r="F39" s="10">
        <v>8000</v>
      </c>
      <c r="G39" s="10">
        <v>8000</v>
      </c>
      <c r="H39" s="13">
        <v>7395</v>
      </c>
      <c r="I39" s="13">
        <v>7395</v>
      </c>
      <c r="J39" s="10"/>
      <c r="K39" s="10"/>
      <c r="L39" s="10"/>
      <c r="M39" s="10"/>
      <c r="N39" s="10"/>
      <c r="O39" s="1"/>
      <c r="P39">
        <f t="shared" ca="1" si="0"/>
        <v>-100</v>
      </c>
    </row>
    <row r="40" spans="1:16" x14ac:dyDescent="0.3">
      <c r="A40" s="26">
        <f t="shared" si="1"/>
        <v>46272</v>
      </c>
      <c r="B40" s="39">
        <v>7053</v>
      </c>
      <c r="C40">
        <v>8000</v>
      </c>
      <c r="D40">
        <v>7100</v>
      </c>
      <c r="E40" s="10">
        <v>8000</v>
      </c>
      <c r="F40" s="10">
        <v>8000</v>
      </c>
      <c r="G40" s="10">
        <v>8000</v>
      </c>
      <c r="H40" s="13">
        <v>7053</v>
      </c>
      <c r="I40" s="13">
        <v>7053</v>
      </c>
      <c r="J40" s="10"/>
      <c r="K40" s="10"/>
      <c r="L40" s="10"/>
      <c r="M40" s="10"/>
      <c r="N40" s="10"/>
      <c r="O40" s="1"/>
      <c r="P40">
        <f t="shared" ca="1" si="0"/>
        <v>-100</v>
      </c>
    </row>
    <row r="41" spans="1:16" x14ac:dyDescent="0.3">
      <c r="A41" s="26">
        <f t="shared" si="1"/>
        <v>46273</v>
      </c>
      <c r="B41" s="43">
        <v>6985</v>
      </c>
      <c r="C41">
        <v>8000</v>
      </c>
      <c r="D41">
        <v>7100</v>
      </c>
      <c r="E41" s="10">
        <v>8000</v>
      </c>
      <c r="F41" s="10">
        <v>8000</v>
      </c>
      <c r="G41" s="10">
        <v>8000</v>
      </c>
      <c r="H41" s="13">
        <v>6985</v>
      </c>
      <c r="I41" s="13">
        <v>6985</v>
      </c>
      <c r="J41" s="10"/>
      <c r="K41" s="10"/>
      <c r="L41" s="10"/>
      <c r="M41" s="10"/>
      <c r="N41" s="10"/>
      <c r="O41" s="1"/>
      <c r="P41">
        <f t="shared" ca="1" si="0"/>
        <v>-100</v>
      </c>
    </row>
    <row r="42" spans="1:16" x14ac:dyDescent="0.3">
      <c r="A42" s="26">
        <f t="shared" si="1"/>
        <v>46274</v>
      </c>
      <c r="B42" s="39">
        <v>6992</v>
      </c>
      <c r="C42">
        <v>8000</v>
      </c>
      <c r="D42">
        <v>7100</v>
      </c>
      <c r="E42" s="10">
        <v>8000</v>
      </c>
      <c r="F42" s="10">
        <v>8000</v>
      </c>
      <c r="G42" s="10">
        <v>8000</v>
      </c>
      <c r="H42" s="13">
        <v>6992</v>
      </c>
      <c r="I42" s="13">
        <v>6992</v>
      </c>
      <c r="J42" s="10"/>
      <c r="K42" s="10"/>
      <c r="L42" s="10"/>
      <c r="M42" s="10"/>
      <c r="N42" s="10"/>
      <c r="O42" s="1"/>
      <c r="P42">
        <f t="shared" ca="1" si="0"/>
        <v>-100</v>
      </c>
    </row>
    <row r="43" spans="1:16" x14ac:dyDescent="0.3">
      <c r="A43" s="26">
        <f t="shared" si="1"/>
        <v>46275</v>
      </c>
      <c r="B43" s="39"/>
      <c r="C43">
        <v>8000</v>
      </c>
      <c r="D43">
        <v>7100</v>
      </c>
      <c r="E43" s="10">
        <v>8000</v>
      </c>
      <c r="F43" s="10">
        <v>8000</v>
      </c>
      <c r="G43" s="10">
        <v>8000</v>
      </c>
      <c r="H43" s="10">
        <v>7000</v>
      </c>
      <c r="I43" s="10">
        <v>7000</v>
      </c>
      <c r="J43" s="1"/>
      <c r="K43" s="1"/>
      <c r="L43" s="1"/>
      <c r="M43" s="1"/>
      <c r="N43" s="1"/>
      <c r="O43" s="1"/>
      <c r="P43">
        <f t="shared" ca="1" si="0"/>
        <v>10000000</v>
      </c>
    </row>
    <row r="44" spans="1:16" x14ac:dyDescent="0.3">
      <c r="A44" s="26">
        <f t="shared" si="1"/>
        <v>46276</v>
      </c>
      <c r="B44" s="39"/>
      <c r="C44">
        <v>8000</v>
      </c>
      <c r="D44">
        <v>7100</v>
      </c>
      <c r="E44" s="10">
        <v>8000</v>
      </c>
      <c r="F44" s="10">
        <v>8000</v>
      </c>
      <c r="G44" s="10">
        <v>8000</v>
      </c>
      <c r="H44" s="10">
        <v>7000</v>
      </c>
      <c r="I44" s="10">
        <v>7000</v>
      </c>
      <c r="J44" s="10"/>
      <c r="K44" s="10"/>
      <c r="L44" s="10"/>
      <c r="M44" s="10"/>
      <c r="N44" s="10"/>
      <c r="O44" s="1"/>
      <c r="P44">
        <f t="shared" ca="1" si="0"/>
        <v>10000000</v>
      </c>
    </row>
    <row r="45" spans="1:16" x14ac:dyDescent="0.3">
      <c r="A45" s="26">
        <f t="shared" si="1"/>
        <v>46277</v>
      </c>
      <c r="B45" s="39"/>
      <c r="C45">
        <v>8000</v>
      </c>
      <c r="D45">
        <v>7100</v>
      </c>
      <c r="E45" s="10">
        <v>8000</v>
      </c>
      <c r="F45" s="10">
        <v>8000</v>
      </c>
      <c r="G45" s="10">
        <v>8000</v>
      </c>
      <c r="H45" s="10">
        <v>7000</v>
      </c>
      <c r="I45" s="10">
        <v>7000</v>
      </c>
      <c r="J45" s="10"/>
      <c r="K45" s="10"/>
      <c r="L45" s="10"/>
      <c r="M45" s="10"/>
      <c r="N45" s="10"/>
      <c r="O45" s="1"/>
      <c r="P45">
        <f t="shared" ca="1" si="0"/>
        <v>10000000</v>
      </c>
    </row>
    <row r="46" spans="1:16" x14ac:dyDescent="0.3">
      <c r="A46" s="26">
        <f t="shared" si="1"/>
        <v>46278</v>
      </c>
      <c r="B46" s="39"/>
      <c r="C46">
        <v>8000</v>
      </c>
      <c r="D46">
        <v>7100</v>
      </c>
      <c r="E46" s="10">
        <v>8000</v>
      </c>
      <c r="F46" s="10">
        <v>8000</v>
      </c>
      <c r="G46" s="10">
        <v>8000</v>
      </c>
      <c r="H46" s="52">
        <v>6500</v>
      </c>
      <c r="I46" s="52">
        <v>6500</v>
      </c>
      <c r="J46" s="10"/>
      <c r="K46" s="10"/>
      <c r="L46" s="10"/>
      <c r="M46" s="10"/>
      <c r="N46" s="10"/>
      <c r="O46" s="1"/>
      <c r="P46">
        <f t="shared" ca="1" si="0"/>
        <v>10000000</v>
      </c>
    </row>
    <row r="47" spans="1:16" x14ac:dyDescent="0.3">
      <c r="A47" s="26">
        <f t="shared" si="1"/>
        <v>46279</v>
      </c>
      <c r="B47" s="39"/>
      <c r="C47">
        <v>8000</v>
      </c>
      <c r="D47">
        <v>7100</v>
      </c>
      <c r="E47" s="10">
        <v>8000</v>
      </c>
      <c r="F47" s="10">
        <v>8000</v>
      </c>
      <c r="G47" s="10">
        <v>8000</v>
      </c>
      <c r="H47" s="10">
        <v>6500</v>
      </c>
      <c r="I47" s="10">
        <v>6500</v>
      </c>
      <c r="J47" s="10"/>
      <c r="K47" s="10"/>
      <c r="L47" s="10"/>
      <c r="M47" s="10"/>
      <c r="N47" s="10"/>
      <c r="O47" s="1"/>
      <c r="P47">
        <f t="shared" ca="1" si="0"/>
        <v>10000000</v>
      </c>
    </row>
    <row r="48" spans="1:16" x14ac:dyDescent="0.3">
      <c r="A48" s="26">
        <f t="shared" si="1"/>
        <v>46280</v>
      </c>
      <c r="B48" s="39"/>
      <c r="C48">
        <v>8000</v>
      </c>
      <c r="D48">
        <v>7100</v>
      </c>
      <c r="E48" s="10">
        <v>8000</v>
      </c>
      <c r="F48" s="10">
        <v>8000</v>
      </c>
      <c r="G48" s="10">
        <v>8000</v>
      </c>
      <c r="H48" s="10">
        <v>6500</v>
      </c>
      <c r="I48" s="10">
        <v>6500</v>
      </c>
      <c r="J48" s="10"/>
      <c r="K48" s="10"/>
      <c r="L48" s="10"/>
      <c r="M48" s="10"/>
      <c r="N48" s="10"/>
      <c r="O48" s="1"/>
      <c r="P48">
        <f t="shared" ca="1" si="0"/>
        <v>10000000</v>
      </c>
    </row>
    <row r="49" spans="1:16" x14ac:dyDescent="0.3">
      <c r="A49" s="26">
        <f t="shared" si="1"/>
        <v>46281</v>
      </c>
      <c r="B49" s="39"/>
      <c r="C49">
        <v>8000</v>
      </c>
      <c r="D49">
        <v>7100</v>
      </c>
      <c r="E49" s="10">
        <v>8000</v>
      </c>
      <c r="F49" s="10">
        <v>8000</v>
      </c>
      <c r="G49" s="10">
        <v>8000</v>
      </c>
      <c r="H49" s="10">
        <v>6500</v>
      </c>
      <c r="I49" s="10">
        <v>6500</v>
      </c>
      <c r="J49" s="10"/>
      <c r="K49" s="10"/>
      <c r="L49" s="10"/>
      <c r="M49" s="10"/>
      <c r="N49" s="10"/>
      <c r="O49" s="1"/>
      <c r="P49">
        <f t="shared" ca="1" si="0"/>
        <v>10000000</v>
      </c>
    </row>
    <row r="50" spans="1:16" x14ac:dyDescent="0.3">
      <c r="A50" s="26">
        <f t="shared" si="1"/>
        <v>46282</v>
      </c>
      <c r="B50" s="39"/>
      <c r="C50">
        <v>8000</v>
      </c>
      <c r="D50">
        <v>7100</v>
      </c>
      <c r="E50" s="10">
        <v>8000</v>
      </c>
      <c r="F50" s="10">
        <v>8000</v>
      </c>
      <c r="G50" s="10">
        <v>8000</v>
      </c>
      <c r="H50" s="10">
        <v>6500</v>
      </c>
      <c r="I50" s="10">
        <v>6500</v>
      </c>
      <c r="J50" s="10"/>
      <c r="K50" s="10"/>
      <c r="L50" s="10"/>
      <c r="M50" s="10"/>
      <c r="N50" s="10"/>
      <c r="O50" s="1"/>
      <c r="P50">
        <f t="shared" ca="1" si="0"/>
        <v>10000000</v>
      </c>
    </row>
    <row r="51" spans="1:16" x14ac:dyDescent="0.3">
      <c r="A51" s="26">
        <f t="shared" si="1"/>
        <v>46283</v>
      </c>
      <c r="B51" s="39"/>
      <c r="C51">
        <v>8000</v>
      </c>
      <c r="D51">
        <v>7100</v>
      </c>
      <c r="E51" s="10">
        <v>8000</v>
      </c>
      <c r="F51" s="10">
        <v>8000</v>
      </c>
      <c r="G51" s="10">
        <v>8000</v>
      </c>
      <c r="H51" s="52">
        <v>6000</v>
      </c>
      <c r="I51" s="10">
        <v>6500</v>
      </c>
      <c r="J51" s="10"/>
      <c r="K51" s="10"/>
      <c r="L51" s="10"/>
      <c r="M51" s="10"/>
      <c r="N51" s="10"/>
      <c r="O51" s="1"/>
      <c r="P51">
        <f t="shared" ca="1" si="0"/>
        <v>10000000</v>
      </c>
    </row>
    <row r="52" spans="1:16" x14ac:dyDescent="0.3">
      <c r="A52" s="26">
        <f t="shared" si="1"/>
        <v>46284</v>
      </c>
      <c r="B52" s="39"/>
      <c r="C52">
        <v>8000</v>
      </c>
      <c r="D52">
        <v>7100</v>
      </c>
      <c r="E52" s="10">
        <v>8000</v>
      </c>
      <c r="F52" s="10">
        <v>8000</v>
      </c>
      <c r="G52" s="10">
        <v>8000</v>
      </c>
      <c r="H52" s="10">
        <v>6000</v>
      </c>
      <c r="I52" s="10">
        <v>6500</v>
      </c>
      <c r="J52" s="10"/>
      <c r="K52" s="10"/>
      <c r="L52" s="10"/>
      <c r="M52" s="10"/>
      <c r="N52" s="10"/>
      <c r="O52" s="1"/>
      <c r="P52">
        <f t="shared" ca="1" si="0"/>
        <v>10000000</v>
      </c>
    </row>
    <row r="53" spans="1:16" x14ac:dyDescent="0.3">
      <c r="A53" s="26">
        <f t="shared" si="1"/>
        <v>46285</v>
      </c>
      <c r="B53" s="39"/>
      <c r="C53">
        <v>8000</v>
      </c>
      <c r="D53">
        <v>7100</v>
      </c>
      <c r="E53" s="10">
        <v>8000</v>
      </c>
      <c r="F53" s="10">
        <v>8000</v>
      </c>
      <c r="G53" s="10">
        <v>8000</v>
      </c>
      <c r="H53" s="10">
        <v>6000</v>
      </c>
      <c r="I53" s="10">
        <v>6500</v>
      </c>
      <c r="J53" s="10"/>
      <c r="K53" s="10"/>
      <c r="L53" s="10"/>
      <c r="M53" s="10"/>
      <c r="N53" s="10"/>
      <c r="O53" s="1"/>
      <c r="P53">
        <f t="shared" ca="1" si="0"/>
        <v>10000000</v>
      </c>
    </row>
    <row r="54" spans="1:16" x14ac:dyDescent="0.3">
      <c r="A54" s="26">
        <f t="shared" si="1"/>
        <v>46286</v>
      </c>
      <c r="B54" s="39"/>
      <c r="C54">
        <v>8000</v>
      </c>
      <c r="D54">
        <v>7100</v>
      </c>
      <c r="E54" s="10">
        <v>8000</v>
      </c>
      <c r="F54" s="10">
        <v>8000</v>
      </c>
      <c r="G54" s="10">
        <v>8000</v>
      </c>
      <c r="H54" s="10">
        <v>6000</v>
      </c>
      <c r="I54" s="10">
        <v>6500</v>
      </c>
      <c r="J54" s="10"/>
      <c r="K54" s="10"/>
      <c r="L54" s="10"/>
      <c r="M54" s="10"/>
      <c r="N54" s="10"/>
      <c r="O54" s="1"/>
      <c r="P54">
        <f t="shared" ca="1" si="0"/>
        <v>10000000</v>
      </c>
    </row>
    <row r="55" spans="1:16" x14ac:dyDescent="0.3">
      <c r="A55" s="26">
        <f t="shared" si="1"/>
        <v>46287</v>
      </c>
      <c r="B55" s="39"/>
      <c r="C55">
        <v>8000</v>
      </c>
      <c r="D55">
        <v>7100</v>
      </c>
      <c r="E55" s="10">
        <v>8000</v>
      </c>
      <c r="F55" s="10">
        <v>8000</v>
      </c>
      <c r="G55" s="10">
        <v>8000</v>
      </c>
      <c r="H55" s="10">
        <v>6000</v>
      </c>
      <c r="I55" s="10">
        <v>6500</v>
      </c>
      <c r="J55" s="10"/>
      <c r="K55" s="1"/>
      <c r="L55" s="10"/>
      <c r="M55" s="10"/>
      <c r="N55" s="10"/>
      <c r="O55" s="1"/>
      <c r="P55">
        <f t="shared" ca="1" si="0"/>
        <v>10000000</v>
      </c>
    </row>
    <row r="56" spans="1:16" x14ac:dyDescent="0.3">
      <c r="A56" s="26">
        <f t="shared" si="1"/>
        <v>46288</v>
      </c>
      <c r="B56" s="39"/>
      <c r="C56">
        <v>8000</v>
      </c>
      <c r="D56">
        <v>7100</v>
      </c>
      <c r="E56" s="10">
        <v>8000</v>
      </c>
      <c r="F56" s="10">
        <v>8000</v>
      </c>
      <c r="G56" s="10">
        <v>8000</v>
      </c>
      <c r="H56" s="10">
        <v>6000</v>
      </c>
      <c r="I56" s="10">
        <v>6500</v>
      </c>
      <c r="J56" s="10"/>
      <c r="K56" s="1"/>
      <c r="L56" s="10"/>
      <c r="M56" s="10"/>
      <c r="N56" s="10"/>
      <c r="O56" s="1"/>
      <c r="P56">
        <f t="shared" ca="1" si="0"/>
        <v>10000000</v>
      </c>
    </row>
    <row r="57" spans="1:16" x14ac:dyDescent="0.3">
      <c r="A57" s="26">
        <f t="shared" si="1"/>
        <v>46289</v>
      </c>
      <c r="B57" s="39"/>
      <c r="C57">
        <v>8000</v>
      </c>
      <c r="D57">
        <v>7100</v>
      </c>
      <c r="E57" s="10">
        <v>8000</v>
      </c>
      <c r="F57" s="10">
        <v>8000</v>
      </c>
      <c r="G57" s="10">
        <v>8000</v>
      </c>
      <c r="H57" s="10">
        <v>6000</v>
      </c>
      <c r="I57" s="10">
        <v>6500</v>
      </c>
      <c r="J57" s="1"/>
      <c r="K57" s="1"/>
      <c r="L57" s="1"/>
      <c r="M57" s="1"/>
      <c r="N57" s="1"/>
      <c r="O57" s="1"/>
      <c r="P57">
        <f t="shared" ca="1" si="0"/>
        <v>10000000</v>
      </c>
    </row>
    <row r="58" spans="1:16" x14ac:dyDescent="0.3">
      <c r="A58" s="26">
        <f t="shared" si="1"/>
        <v>46290</v>
      </c>
      <c r="B58" s="39"/>
      <c r="C58">
        <v>8000</v>
      </c>
      <c r="D58">
        <v>7100</v>
      </c>
      <c r="E58" s="10">
        <v>8000</v>
      </c>
      <c r="F58" s="10">
        <v>8000</v>
      </c>
      <c r="G58" s="10">
        <v>8000</v>
      </c>
      <c r="H58" s="10">
        <v>6000</v>
      </c>
      <c r="I58" s="10">
        <v>6500</v>
      </c>
      <c r="J58" s="1"/>
      <c r="K58" s="1"/>
      <c r="L58" s="1"/>
      <c r="M58" s="1"/>
      <c r="N58" s="1"/>
      <c r="O58" s="1"/>
      <c r="P58">
        <f t="shared" ca="1" si="0"/>
        <v>10000000</v>
      </c>
    </row>
    <row r="59" spans="1:16" x14ac:dyDescent="0.3">
      <c r="A59" s="26">
        <f t="shared" si="1"/>
        <v>46291</v>
      </c>
      <c r="B59" s="39"/>
      <c r="C59">
        <v>8000</v>
      </c>
      <c r="D59">
        <v>7100</v>
      </c>
      <c r="E59" s="10">
        <v>8000</v>
      </c>
      <c r="F59" s="10">
        <v>8000</v>
      </c>
      <c r="G59" s="10">
        <v>8000</v>
      </c>
      <c r="H59" s="10">
        <v>6000</v>
      </c>
      <c r="I59" s="10">
        <v>6500</v>
      </c>
      <c r="J59" s="1"/>
      <c r="K59" s="1"/>
      <c r="L59" s="1"/>
      <c r="M59" s="1"/>
      <c r="N59" s="1"/>
      <c r="O59" s="1"/>
      <c r="P59">
        <f t="shared" ca="1" si="0"/>
        <v>10000000</v>
      </c>
    </row>
    <row r="60" spans="1:16" x14ac:dyDescent="0.3">
      <c r="A60" s="26">
        <f t="shared" si="1"/>
        <v>46292</v>
      </c>
      <c r="B60" s="39"/>
      <c r="C60">
        <v>8000</v>
      </c>
      <c r="D60">
        <v>7100</v>
      </c>
      <c r="E60" s="10">
        <v>8000</v>
      </c>
      <c r="F60" s="10">
        <v>8000</v>
      </c>
      <c r="G60" s="10">
        <v>8000</v>
      </c>
      <c r="H60" s="10">
        <v>6000</v>
      </c>
      <c r="I60" s="10">
        <v>6500</v>
      </c>
      <c r="J60" s="1"/>
      <c r="K60" s="1"/>
      <c r="L60" s="1"/>
      <c r="M60" s="1"/>
      <c r="N60" s="1"/>
      <c r="O60" s="1"/>
      <c r="P60">
        <f t="shared" ca="1" si="0"/>
        <v>10000000</v>
      </c>
    </row>
    <row r="61" spans="1:16" x14ac:dyDescent="0.3">
      <c r="A61" s="26">
        <f t="shared" si="1"/>
        <v>46293</v>
      </c>
      <c r="B61" s="39"/>
      <c r="C61">
        <v>8000</v>
      </c>
      <c r="D61">
        <v>7100</v>
      </c>
      <c r="E61" s="10">
        <v>8000</v>
      </c>
      <c r="F61" s="10">
        <v>8000</v>
      </c>
      <c r="G61" s="10">
        <v>8000</v>
      </c>
      <c r="H61" s="10">
        <v>6000</v>
      </c>
      <c r="I61" s="10">
        <v>6500</v>
      </c>
      <c r="J61" s="1"/>
      <c r="K61" s="1"/>
      <c r="L61" s="1"/>
      <c r="M61" s="1"/>
      <c r="N61" s="1"/>
      <c r="O61" s="1"/>
      <c r="P61">
        <f t="shared" ca="1" si="0"/>
        <v>10000000</v>
      </c>
    </row>
    <row r="62" spans="1:16" x14ac:dyDescent="0.3">
      <c r="A62" s="26">
        <f t="shared" si="1"/>
        <v>46294</v>
      </c>
      <c r="B62" s="39"/>
      <c r="C62">
        <v>8000</v>
      </c>
      <c r="D62">
        <v>7100</v>
      </c>
      <c r="E62" s="10">
        <v>8000</v>
      </c>
      <c r="F62" s="10">
        <v>8000</v>
      </c>
      <c r="G62" s="10">
        <v>8000</v>
      </c>
      <c r="H62" s="10">
        <v>6000</v>
      </c>
      <c r="I62" s="10">
        <v>6500</v>
      </c>
      <c r="J62" s="1"/>
      <c r="K62" s="1"/>
      <c r="L62" s="1"/>
      <c r="M62" s="1"/>
      <c r="N62" s="1"/>
      <c r="O62" s="1"/>
      <c r="P62">
        <f t="shared" ca="1" si="0"/>
        <v>10000000</v>
      </c>
    </row>
    <row r="63" spans="1:16" x14ac:dyDescent="0.3">
      <c r="A63" s="44">
        <f t="shared" si="1"/>
        <v>46295</v>
      </c>
      <c r="B63" s="46"/>
      <c r="C63" s="45">
        <v>8000</v>
      </c>
      <c r="D63">
        <v>7100</v>
      </c>
      <c r="E63" s="20">
        <v>8000</v>
      </c>
      <c r="F63" s="20">
        <v>8000</v>
      </c>
      <c r="G63" s="10">
        <v>8000</v>
      </c>
      <c r="H63" s="10">
        <v>6000</v>
      </c>
      <c r="I63" s="10">
        <v>6500</v>
      </c>
      <c r="J63" s="1"/>
      <c r="K63" s="1"/>
      <c r="L63" s="1"/>
      <c r="M63" s="1"/>
      <c r="N63" s="1"/>
      <c r="O63" s="1"/>
      <c r="P63">
        <f t="shared" ca="1" si="0"/>
        <v>10000000</v>
      </c>
    </row>
    <row r="64" spans="1:16" x14ac:dyDescent="0.3">
      <c r="A64" s="26">
        <f t="shared" si="1"/>
        <v>46296</v>
      </c>
      <c r="B64" s="38"/>
      <c r="C64">
        <v>7000</v>
      </c>
      <c r="D64">
        <v>7000</v>
      </c>
      <c r="E64" s="1">
        <v>6500</v>
      </c>
      <c r="F64" s="10">
        <v>6000</v>
      </c>
      <c r="G64" s="36">
        <v>7000</v>
      </c>
      <c r="H64" s="10">
        <v>6000</v>
      </c>
      <c r="I64" s="10">
        <v>6500</v>
      </c>
      <c r="J64" s="22"/>
      <c r="K64" s="22"/>
      <c r="L64" s="22"/>
      <c r="M64" s="22"/>
      <c r="N64" s="22"/>
      <c r="O64" s="1"/>
      <c r="P64">
        <f t="shared" ca="1" si="0"/>
        <v>10000000</v>
      </c>
    </row>
    <row r="65" spans="1:16" x14ac:dyDescent="0.3">
      <c r="A65" s="26">
        <f t="shared" si="1"/>
        <v>46297</v>
      </c>
      <c r="B65" s="38"/>
      <c r="C65">
        <v>7000</v>
      </c>
      <c r="D65">
        <v>7000</v>
      </c>
      <c r="E65" s="1">
        <v>6500</v>
      </c>
      <c r="F65" s="10">
        <v>6000</v>
      </c>
      <c r="G65" s="10">
        <v>6000</v>
      </c>
      <c r="H65" s="10">
        <v>6000</v>
      </c>
      <c r="I65" s="10">
        <v>6500</v>
      </c>
      <c r="J65" s="1"/>
      <c r="K65" s="1"/>
      <c r="L65" s="1"/>
      <c r="M65" s="1"/>
      <c r="N65" s="1"/>
      <c r="O65" s="1"/>
      <c r="P65">
        <f t="shared" ca="1" si="0"/>
        <v>10000000</v>
      </c>
    </row>
    <row r="66" spans="1:16" x14ac:dyDescent="0.3">
      <c r="A66" s="26">
        <f t="shared" si="1"/>
        <v>46298</v>
      </c>
      <c r="B66" s="38"/>
      <c r="C66">
        <v>7000</v>
      </c>
      <c r="D66">
        <v>7000</v>
      </c>
      <c r="E66" s="1">
        <v>6500</v>
      </c>
      <c r="F66" s="10">
        <v>6000</v>
      </c>
      <c r="G66" s="10">
        <v>6000</v>
      </c>
      <c r="H66" s="10">
        <v>6000</v>
      </c>
      <c r="I66" s="10">
        <v>6500</v>
      </c>
      <c r="J66" s="1"/>
      <c r="K66" s="1"/>
      <c r="L66" s="1"/>
      <c r="M66" s="1"/>
      <c r="N66" s="1"/>
      <c r="O66" s="1"/>
      <c r="P66">
        <f t="shared" ca="1" si="0"/>
        <v>10000000</v>
      </c>
    </row>
    <row r="67" spans="1:16" x14ac:dyDescent="0.3">
      <c r="A67" s="26">
        <f t="shared" si="1"/>
        <v>46299</v>
      </c>
      <c r="B67" s="38"/>
      <c r="C67">
        <v>7000</v>
      </c>
      <c r="D67">
        <v>7000</v>
      </c>
      <c r="E67" s="1">
        <v>6500</v>
      </c>
      <c r="F67" s="10">
        <v>6000</v>
      </c>
      <c r="G67" s="10">
        <v>6000</v>
      </c>
      <c r="H67" s="10">
        <v>6000</v>
      </c>
      <c r="I67" s="10">
        <v>6500</v>
      </c>
      <c r="J67" s="1"/>
      <c r="K67" s="1"/>
      <c r="L67" s="1"/>
      <c r="M67" s="1"/>
      <c r="N67" s="1"/>
      <c r="O67" s="1"/>
      <c r="P67">
        <f t="shared" ref="P67:P130" ca="1" si="2">IF(TODAY()&gt;A67,-100,10000000)</f>
        <v>10000000</v>
      </c>
    </row>
    <row r="68" spans="1:16" x14ac:dyDescent="0.3">
      <c r="A68" s="26">
        <f t="shared" si="1"/>
        <v>46300</v>
      </c>
      <c r="B68" s="38"/>
      <c r="C68">
        <v>7000</v>
      </c>
      <c r="D68">
        <v>7000</v>
      </c>
      <c r="E68" s="1">
        <v>6500</v>
      </c>
      <c r="F68" s="10">
        <v>6000</v>
      </c>
      <c r="G68" s="10">
        <v>6000</v>
      </c>
      <c r="H68" s="10">
        <v>6000</v>
      </c>
      <c r="I68" s="10">
        <v>6500</v>
      </c>
      <c r="J68" s="1"/>
      <c r="K68" s="1"/>
      <c r="L68" s="1"/>
      <c r="M68" s="1"/>
      <c r="N68" s="1"/>
      <c r="O68" s="1"/>
      <c r="P68">
        <f t="shared" ca="1" si="2"/>
        <v>10000000</v>
      </c>
    </row>
    <row r="69" spans="1:16" x14ac:dyDescent="0.3">
      <c r="A69" s="26">
        <f t="shared" ref="A69:A132" si="3">A68+1</f>
        <v>46301</v>
      </c>
      <c r="B69" s="38"/>
      <c r="C69">
        <v>7000</v>
      </c>
      <c r="D69">
        <v>7000</v>
      </c>
      <c r="E69" s="1">
        <v>6500</v>
      </c>
      <c r="F69" s="10">
        <v>6000</v>
      </c>
      <c r="G69" s="10">
        <v>6000</v>
      </c>
      <c r="H69" s="10">
        <v>6000</v>
      </c>
      <c r="I69" s="10">
        <v>6500</v>
      </c>
      <c r="J69" s="1"/>
      <c r="K69" s="1"/>
      <c r="L69" s="1"/>
      <c r="M69" s="1"/>
      <c r="N69" s="1"/>
      <c r="O69" s="1"/>
      <c r="P69">
        <f t="shared" ca="1" si="2"/>
        <v>10000000</v>
      </c>
    </row>
    <row r="70" spans="1:16" x14ac:dyDescent="0.3">
      <c r="A70" s="26">
        <f t="shared" si="3"/>
        <v>46302</v>
      </c>
      <c r="B70" s="19"/>
      <c r="C70">
        <v>7000</v>
      </c>
      <c r="D70">
        <v>7000</v>
      </c>
      <c r="E70" s="1">
        <v>6500</v>
      </c>
      <c r="F70" s="10">
        <v>6000</v>
      </c>
      <c r="G70" s="10">
        <v>6000</v>
      </c>
      <c r="H70" s="10">
        <v>6000</v>
      </c>
      <c r="I70" s="10">
        <v>6500</v>
      </c>
      <c r="J70" s="1"/>
      <c r="K70" s="1"/>
      <c r="L70" s="1"/>
      <c r="M70" s="1"/>
      <c r="N70" s="1"/>
      <c r="O70" s="1"/>
      <c r="P70">
        <f t="shared" ca="1" si="2"/>
        <v>10000000</v>
      </c>
    </row>
    <row r="71" spans="1:16" x14ac:dyDescent="0.3">
      <c r="A71" s="26">
        <f t="shared" si="3"/>
        <v>46303</v>
      </c>
      <c r="B71" s="19"/>
      <c r="C71">
        <v>7000</v>
      </c>
      <c r="D71">
        <v>7000</v>
      </c>
      <c r="E71" s="1">
        <v>6500</v>
      </c>
      <c r="F71" s="10">
        <v>6000</v>
      </c>
      <c r="G71" s="10">
        <v>6000</v>
      </c>
      <c r="H71" s="10">
        <v>6000</v>
      </c>
      <c r="I71" s="10">
        <v>6500</v>
      </c>
      <c r="J71" s="1"/>
      <c r="K71" s="1"/>
      <c r="L71" s="1"/>
      <c r="M71" s="1"/>
      <c r="N71" s="1"/>
      <c r="O71" s="1"/>
      <c r="P71">
        <f t="shared" ca="1" si="2"/>
        <v>10000000</v>
      </c>
    </row>
    <row r="72" spans="1:16" x14ac:dyDescent="0.3">
      <c r="A72" s="26">
        <f t="shared" si="3"/>
        <v>46304</v>
      </c>
      <c r="B72" s="19"/>
      <c r="C72">
        <v>7000</v>
      </c>
      <c r="D72">
        <v>7000</v>
      </c>
      <c r="E72" s="1">
        <v>6500</v>
      </c>
      <c r="F72" s="10">
        <v>6000</v>
      </c>
      <c r="G72" s="10">
        <v>6000</v>
      </c>
      <c r="H72" s="10">
        <v>6000</v>
      </c>
      <c r="I72" s="10">
        <v>6500</v>
      </c>
      <c r="J72" s="1"/>
      <c r="K72" s="1"/>
      <c r="L72" s="1"/>
      <c r="M72" s="1"/>
      <c r="N72" s="1"/>
      <c r="O72" s="1"/>
      <c r="P72">
        <f t="shared" ca="1" si="2"/>
        <v>10000000</v>
      </c>
    </row>
    <row r="73" spans="1:16" x14ac:dyDescent="0.3">
      <c r="A73" s="26">
        <f t="shared" si="3"/>
        <v>46305</v>
      </c>
      <c r="B73" s="19"/>
      <c r="C73">
        <v>7000</v>
      </c>
      <c r="D73">
        <v>7000</v>
      </c>
      <c r="E73" s="1">
        <v>6500</v>
      </c>
      <c r="F73" s="10">
        <v>6000</v>
      </c>
      <c r="G73" s="10">
        <v>6000</v>
      </c>
      <c r="H73" s="10">
        <v>6000</v>
      </c>
      <c r="I73" s="10">
        <v>6500</v>
      </c>
      <c r="J73" s="1"/>
      <c r="K73" s="1"/>
      <c r="L73" s="1"/>
      <c r="M73" s="1"/>
      <c r="N73" s="1"/>
      <c r="O73" s="1"/>
      <c r="P73">
        <f t="shared" ca="1" si="2"/>
        <v>10000000</v>
      </c>
    </row>
    <row r="74" spans="1:16" x14ac:dyDescent="0.3">
      <c r="A74" s="26">
        <f t="shared" si="3"/>
        <v>46306</v>
      </c>
      <c r="B74" s="19"/>
      <c r="C74">
        <v>7000</v>
      </c>
      <c r="D74">
        <v>7000</v>
      </c>
      <c r="E74" s="1">
        <v>6500</v>
      </c>
      <c r="F74" s="10">
        <v>6000</v>
      </c>
      <c r="G74" s="10">
        <v>6000</v>
      </c>
      <c r="H74" s="10">
        <v>6000</v>
      </c>
      <c r="I74" s="10">
        <v>6500</v>
      </c>
      <c r="J74" s="1"/>
      <c r="K74" s="1"/>
      <c r="L74" s="1"/>
      <c r="M74" s="1"/>
      <c r="N74" s="1"/>
      <c r="O74" s="1"/>
      <c r="P74">
        <f t="shared" ca="1" si="2"/>
        <v>10000000</v>
      </c>
    </row>
    <row r="75" spans="1:16" x14ac:dyDescent="0.3">
      <c r="A75" s="26">
        <f t="shared" si="3"/>
        <v>46307</v>
      </c>
      <c r="B75" s="19"/>
      <c r="C75">
        <v>7000</v>
      </c>
      <c r="D75">
        <v>7000</v>
      </c>
      <c r="E75" s="1">
        <v>6500</v>
      </c>
      <c r="F75" s="10">
        <v>6000</v>
      </c>
      <c r="G75" s="10">
        <v>6000</v>
      </c>
      <c r="H75" s="10">
        <v>6000</v>
      </c>
      <c r="I75" s="10">
        <v>6500</v>
      </c>
      <c r="J75" s="1"/>
      <c r="K75" s="1"/>
      <c r="L75" s="1"/>
      <c r="M75" s="1"/>
      <c r="N75" s="1"/>
      <c r="O75" s="1"/>
      <c r="P75">
        <f t="shared" ca="1" si="2"/>
        <v>10000000</v>
      </c>
    </row>
    <row r="76" spans="1:16" x14ac:dyDescent="0.3">
      <c r="A76" s="26">
        <f t="shared" si="3"/>
        <v>46308</v>
      </c>
      <c r="B76" s="19"/>
      <c r="C76">
        <v>7000</v>
      </c>
      <c r="D76">
        <v>7000</v>
      </c>
      <c r="E76" s="1">
        <v>6500</v>
      </c>
      <c r="F76" s="10">
        <v>6000</v>
      </c>
      <c r="G76" s="10">
        <v>6000</v>
      </c>
      <c r="H76" s="10">
        <v>6000</v>
      </c>
      <c r="I76" s="10">
        <v>6500</v>
      </c>
      <c r="J76" s="1"/>
      <c r="K76" s="1"/>
      <c r="L76" s="1"/>
      <c r="M76" s="1"/>
      <c r="N76" s="1"/>
      <c r="O76" s="1"/>
      <c r="P76">
        <f t="shared" ca="1" si="2"/>
        <v>10000000</v>
      </c>
    </row>
    <row r="77" spans="1:16" x14ac:dyDescent="0.3">
      <c r="A77" s="26">
        <f t="shared" si="3"/>
        <v>46309</v>
      </c>
      <c r="B77" s="19"/>
      <c r="C77">
        <v>7000</v>
      </c>
      <c r="D77">
        <v>7000</v>
      </c>
      <c r="E77" s="1">
        <v>6500</v>
      </c>
      <c r="F77" s="10">
        <v>6000</v>
      </c>
      <c r="G77" s="10">
        <v>6000</v>
      </c>
      <c r="H77" s="10">
        <v>6000</v>
      </c>
      <c r="I77" s="10">
        <v>6500</v>
      </c>
      <c r="J77" s="1"/>
      <c r="K77" s="1"/>
      <c r="L77" s="1"/>
      <c r="M77" s="1"/>
      <c r="N77" s="1"/>
      <c r="O77" s="1"/>
      <c r="P77">
        <f t="shared" ca="1" si="2"/>
        <v>10000000</v>
      </c>
    </row>
    <row r="78" spans="1:16" x14ac:dyDescent="0.3">
      <c r="A78" s="26">
        <f t="shared" si="3"/>
        <v>46310</v>
      </c>
      <c r="B78" s="19"/>
      <c r="C78">
        <v>7000</v>
      </c>
      <c r="D78">
        <v>7000</v>
      </c>
      <c r="E78" s="1">
        <v>6500</v>
      </c>
      <c r="F78" s="10">
        <v>6000</v>
      </c>
      <c r="G78" s="10">
        <v>6000</v>
      </c>
      <c r="H78" s="10">
        <v>6000</v>
      </c>
      <c r="I78" s="10">
        <v>6500</v>
      </c>
      <c r="J78" s="1"/>
      <c r="K78" s="1"/>
      <c r="L78" s="1"/>
      <c r="M78" s="1"/>
      <c r="N78" s="1"/>
      <c r="O78" s="1"/>
      <c r="P78">
        <f t="shared" ca="1" si="2"/>
        <v>10000000</v>
      </c>
    </row>
    <row r="79" spans="1:16" x14ac:dyDescent="0.3">
      <c r="A79" s="26">
        <f t="shared" si="3"/>
        <v>46311</v>
      </c>
      <c r="B79" s="19"/>
      <c r="C79">
        <v>7000</v>
      </c>
      <c r="D79">
        <v>7000</v>
      </c>
      <c r="E79" s="1">
        <v>6500</v>
      </c>
      <c r="F79" s="10">
        <v>6000</v>
      </c>
      <c r="G79" s="10">
        <v>5500</v>
      </c>
      <c r="H79" s="10">
        <v>5500</v>
      </c>
      <c r="I79" s="10">
        <v>6500</v>
      </c>
      <c r="J79" s="1"/>
      <c r="K79" s="1"/>
      <c r="L79" s="1"/>
      <c r="M79" s="1"/>
      <c r="N79" s="1"/>
      <c r="O79" s="1"/>
      <c r="P79">
        <f t="shared" ca="1" si="2"/>
        <v>10000000</v>
      </c>
    </row>
    <row r="80" spans="1:16" x14ac:dyDescent="0.3">
      <c r="A80" s="26">
        <f t="shared" si="3"/>
        <v>46312</v>
      </c>
      <c r="B80" s="19"/>
      <c r="C80">
        <v>7000</v>
      </c>
      <c r="D80">
        <v>7000</v>
      </c>
      <c r="E80" s="1">
        <v>6500</v>
      </c>
      <c r="F80" s="10">
        <v>6000</v>
      </c>
      <c r="G80" s="10">
        <v>5500</v>
      </c>
      <c r="H80" s="10">
        <v>5500</v>
      </c>
      <c r="I80" s="10">
        <v>6500</v>
      </c>
      <c r="J80" s="1"/>
      <c r="K80" s="1"/>
      <c r="L80" s="1"/>
      <c r="M80" s="1"/>
      <c r="N80" s="1"/>
      <c r="O80" s="1"/>
      <c r="P80">
        <f t="shared" ca="1" si="2"/>
        <v>10000000</v>
      </c>
    </row>
    <row r="81" spans="1:16" x14ac:dyDescent="0.3">
      <c r="A81" s="26">
        <f t="shared" si="3"/>
        <v>46313</v>
      </c>
      <c r="B81" s="19"/>
      <c r="C81">
        <v>7000</v>
      </c>
      <c r="D81">
        <v>7000</v>
      </c>
      <c r="E81" s="1">
        <v>6500</v>
      </c>
      <c r="F81" s="10">
        <v>6000</v>
      </c>
      <c r="G81" s="10">
        <v>5500</v>
      </c>
      <c r="H81" s="10">
        <v>5500</v>
      </c>
      <c r="I81" s="10">
        <v>6500</v>
      </c>
      <c r="J81" s="1"/>
      <c r="K81" s="1"/>
      <c r="L81" s="1"/>
      <c r="M81" s="1"/>
      <c r="N81" s="1"/>
      <c r="O81" s="1"/>
      <c r="P81">
        <f t="shared" ca="1" si="2"/>
        <v>10000000</v>
      </c>
    </row>
    <row r="82" spans="1:16" x14ac:dyDescent="0.3">
      <c r="A82" s="26">
        <f t="shared" si="3"/>
        <v>46314</v>
      </c>
      <c r="B82" s="19"/>
      <c r="C82">
        <v>7000</v>
      </c>
      <c r="D82">
        <v>7000</v>
      </c>
      <c r="E82" s="1">
        <v>6500</v>
      </c>
      <c r="F82" s="10">
        <v>6000</v>
      </c>
      <c r="G82" s="10">
        <v>5500</v>
      </c>
      <c r="H82" s="10">
        <v>5500</v>
      </c>
      <c r="I82" s="10">
        <v>6500</v>
      </c>
      <c r="J82" s="1"/>
      <c r="K82" s="1"/>
      <c r="L82" s="1"/>
      <c r="M82" s="1"/>
      <c r="N82" s="1"/>
      <c r="O82" s="10"/>
      <c r="P82">
        <f t="shared" ca="1" si="2"/>
        <v>10000000</v>
      </c>
    </row>
    <row r="83" spans="1:16" x14ac:dyDescent="0.3">
      <c r="A83" s="26">
        <f t="shared" si="3"/>
        <v>46315</v>
      </c>
      <c r="B83" s="19"/>
      <c r="C83">
        <v>7000</v>
      </c>
      <c r="D83">
        <v>7000</v>
      </c>
      <c r="E83" s="1">
        <v>6500</v>
      </c>
      <c r="F83" s="10">
        <v>6000</v>
      </c>
      <c r="G83" s="10">
        <v>5500</v>
      </c>
      <c r="H83" s="10">
        <v>5500</v>
      </c>
      <c r="I83" s="10">
        <v>6500</v>
      </c>
      <c r="J83" s="1"/>
      <c r="K83" s="1"/>
      <c r="L83" s="1"/>
      <c r="M83" s="1"/>
      <c r="N83" s="1"/>
      <c r="O83" s="10"/>
      <c r="P83">
        <f t="shared" ca="1" si="2"/>
        <v>10000000</v>
      </c>
    </row>
    <row r="84" spans="1:16" x14ac:dyDescent="0.3">
      <c r="A84" s="26">
        <f t="shared" si="3"/>
        <v>46316</v>
      </c>
      <c r="B84" s="19"/>
      <c r="C84">
        <v>7000</v>
      </c>
      <c r="D84">
        <v>7000</v>
      </c>
      <c r="E84" s="1">
        <v>6500</v>
      </c>
      <c r="F84" s="10">
        <v>6000</v>
      </c>
      <c r="G84" s="10">
        <v>5500</v>
      </c>
      <c r="H84" s="10">
        <v>5500</v>
      </c>
      <c r="I84" s="10">
        <v>6500</v>
      </c>
      <c r="J84" s="1"/>
      <c r="K84" s="1"/>
      <c r="L84" s="1"/>
      <c r="M84" s="1"/>
      <c r="N84" s="1"/>
      <c r="O84" s="10"/>
      <c r="P84">
        <f t="shared" ca="1" si="2"/>
        <v>10000000</v>
      </c>
    </row>
    <row r="85" spans="1:16" x14ac:dyDescent="0.3">
      <c r="A85" s="26">
        <f t="shared" si="3"/>
        <v>46317</v>
      </c>
      <c r="B85" s="19"/>
      <c r="C85">
        <v>7000</v>
      </c>
      <c r="D85">
        <v>7000</v>
      </c>
      <c r="E85" s="1">
        <v>6500</v>
      </c>
      <c r="F85" s="10">
        <v>6000</v>
      </c>
      <c r="G85" s="10">
        <v>5500</v>
      </c>
      <c r="H85" s="10">
        <v>5500</v>
      </c>
      <c r="I85" s="10">
        <v>6500</v>
      </c>
      <c r="J85" s="1"/>
      <c r="K85" s="1"/>
      <c r="L85" s="1"/>
      <c r="M85" s="1"/>
      <c r="N85" s="1"/>
      <c r="O85" s="10"/>
      <c r="P85">
        <f t="shared" ca="1" si="2"/>
        <v>10000000</v>
      </c>
    </row>
    <row r="86" spans="1:16" x14ac:dyDescent="0.3">
      <c r="A86" s="26">
        <f t="shared" si="3"/>
        <v>46318</v>
      </c>
      <c r="B86" s="19"/>
      <c r="C86">
        <v>7000</v>
      </c>
      <c r="D86">
        <v>7000</v>
      </c>
      <c r="E86" s="1">
        <v>6500</v>
      </c>
      <c r="F86" s="10">
        <v>6000</v>
      </c>
      <c r="G86" s="10">
        <v>5500</v>
      </c>
      <c r="H86" s="10">
        <v>5500</v>
      </c>
      <c r="I86" s="10">
        <v>6500</v>
      </c>
      <c r="J86" s="1"/>
      <c r="K86" s="1"/>
      <c r="L86" s="1"/>
      <c r="M86" s="1"/>
      <c r="N86" s="1"/>
      <c r="O86" s="10"/>
      <c r="P86">
        <f t="shared" ca="1" si="2"/>
        <v>10000000</v>
      </c>
    </row>
    <row r="87" spans="1:16" x14ac:dyDescent="0.3">
      <c r="A87" s="26">
        <f t="shared" si="3"/>
        <v>46319</v>
      </c>
      <c r="B87" s="19"/>
      <c r="C87">
        <v>7000</v>
      </c>
      <c r="D87">
        <v>7000</v>
      </c>
      <c r="E87" s="1">
        <v>6500</v>
      </c>
      <c r="F87" s="10">
        <v>6000</v>
      </c>
      <c r="G87" s="10">
        <v>5500</v>
      </c>
      <c r="H87" s="10">
        <v>5500</v>
      </c>
      <c r="I87" s="10">
        <v>6500</v>
      </c>
      <c r="J87" s="1"/>
      <c r="K87" s="1"/>
      <c r="L87" s="1"/>
      <c r="M87" s="1"/>
      <c r="N87" s="1"/>
      <c r="O87" s="10"/>
      <c r="P87">
        <f t="shared" ca="1" si="2"/>
        <v>10000000</v>
      </c>
    </row>
    <row r="88" spans="1:16" x14ac:dyDescent="0.3">
      <c r="A88" s="26">
        <f t="shared" si="3"/>
        <v>46320</v>
      </c>
      <c r="B88" s="19"/>
      <c r="C88">
        <v>7000</v>
      </c>
      <c r="D88">
        <v>7000</v>
      </c>
      <c r="E88" s="1">
        <v>6500</v>
      </c>
      <c r="F88" s="10">
        <v>6000</v>
      </c>
      <c r="G88" s="10">
        <v>5500</v>
      </c>
      <c r="H88" s="10">
        <v>5500</v>
      </c>
      <c r="I88" s="10">
        <v>6500</v>
      </c>
      <c r="J88" s="1"/>
      <c r="K88" s="1"/>
      <c r="L88" s="1"/>
      <c r="M88" s="1"/>
      <c r="N88" s="1"/>
      <c r="O88" s="10"/>
      <c r="P88">
        <f t="shared" ca="1" si="2"/>
        <v>10000000</v>
      </c>
    </row>
    <row r="89" spans="1:16" x14ac:dyDescent="0.3">
      <c r="A89" s="26">
        <f t="shared" si="3"/>
        <v>46321</v>
      </c>
      <c r="B89" s="19"/>
      <c r="C89">
        <v>7000</v>
      </c>
      <c r="D89">
        <v>7000</v>
      </c>
      <c r="E89" s="1">
        <v>6500</v>
      </c>
      <c r="F89" s="10">
        <v>6000</v>
      </c>
      <c r="G89" s="10">
        <v>5500</v>
      </c>
      <c r="H89" s="10">
        <v>5500</v>
      </c>
      <c r="I89" s="10">
        <v>6500</v>
      </c>
      <c r="J89" s="1"/>
      <c r="K89" s="1"/>
      <c r="L89" s="1"/>
      <c r="M89" s="1"/>
      <c r="N89" s="1"/>
      <c r="O89" s="10"/>
      <c r="P89">
        <f t="shared" ca="1" si="2"/>
        <v>10000000</v>
      </c>
    </row>
    <row r="90" spans="1:16" x14ac:dyDescent="0.3">
      <c r="A90" s="26">
        <f t="shared" si="3"/>
        <v>46322</v>
      </c>
      <c r="B90" s="19"/>
      <c r="C90">
        <v>7000</v>
      </c>
      <c r="D90">
        <v>7000</v>
      </c>
      <c r="E90" s="1">
        <v>6500</v>
      </c>
      <c r="F90" s="10">
        <v>6000</v>
      </c>
      <c r="G90" s="10">
        <v>5500</v>
      </c>
      <c r="H90" s="10">
        <v>5500</v>
      </c>
      <c r="I90" s="10">
        <v>6500</v>
      </c>
      <c r="J90" s="1"/>
      <c r="K90" s="1"/>
      <c r="L90" s="1"/>
      <c r="M90" s="1"/>
      <c r="N90" s="1"/>
      <c r="O90" s="10"/>
      <c r="P90">
        <f t="shared" ca="1" si="2"/>
        <v>10000000</v>
      </c>
    </row>
    <row r="91" spans="1:16" x14ac:dyDescent="0.3">
      <c r="A91" s="26">
        <f t="shared" si="3"/>
        <v>46323</v>
      </c>
      <c r="B91" s="19"/>
      <c r="C91">
        <v>7000</v>
      </c>
      <c r="D91">
        <v>7000</v>
      </c>
      <c r="E91" s="1">
        <v>6500</v>
      </c>
      <c r="F91" s="10">
        <v>6000</v>
      </c>
      <c r="G91" s="10">
        <v>5500</v>
      </c>
      <c r="H91" s="10">
        <v>5500</v>
      </c>
      <c r="I91" s="10">
        <v>6500</v>
      </c>
      <c r="J91" s="1"/>
      <c r="K91" s="1"/>
      <c r="L91" s="1"/>
      <c r="M91" s="1"/>
      <c r="N91" s="1"/>
      <c r="O91" s="10"/>
      <c r="P91">
        <f t="shared" ca="1" si="2"/>
        <v>10000000</v>
      </c>
    </row>
    <row r="92" spans="1:16" x14ac:dyDescent="0.3">
      <c r="A92" s="26">
        <f t="shared" si="3"/>
        <v>46324</v>
      </c>
      <c r="B92" s="19"/>
      <c r="C92">
        <v>7000</v>
      </c>
      <c r="D92">
        <v>7000</v>
      </c>
      <c r="E92" s="1">
        <v>6500</v>
      </c>
      <c r="F92" s="10">
        <v>6000</v>
      </c>
      <c r="G92" s="10">
        <v>5500</v>
      </c>
      <c r="H92" s="10">
        <v>5500</v>
      </c>
      <c r="I92" s="10">
        <v>6500</v>
      </c>
      <c r="J92" s="1"/>
      <c r="K92" s="1"/>
      <c r="L92" s="1"/>
      <c r="M92" s="1"/>
      <c r="N92" s="1"/>
      <c r="O92" s="10"/>
      <c r="P92">
        <f t="shared" ca="1" si="2"/>
        <v>10000000</v>
      </c>
    </row>
    <row r="93" spans="1:16" x14ac:dyDescent="0.3">
      <c r="A93" s="26">
        <f t="shared" si="3"/>
        <v>46325</v>
      </c>
      <c r="B93" s="19"/>
      <c r="C93">
        <v>7000</v>
      </c>
      <c r="D93">
        <v>7000</v>
      </c>
      <c r="E93" s="1">
        <v>6500</v>
      </c>
      <c r="F93" s="10">
        <v>6000</v>
      </c>
      <c r="G93" s="10">
        <v>5500</v>
      </c>
      <c r="H93" s="10">
        <v>5500</v>
      </c>
      <c r="I93" s="10">
        <v>6500</v>
      </c>
      <c r="J93" s="1"/>
      <c r="K93" s="1"/>
      <c r="L93" s="1"/>
      <c r="M93" s="1"/>
      <c r="N93" s="1"/>
      <c r="O93" s="10"/>
      <c r="P93">
        <f t="shared" ca="1" si="2"/>
        <v>10000000</v>
      </c>
    </row>
    <row r="94" spans="1:16" x14ac:dyDescent="0.3">
      <c r="A94" s="44">
        <f t="shared" si="3"/>
        <v>46326</v>
      </c>
      <c r="B94" s="37"/>
      <c r="C94">
        <v>7000</v>
      </c>
      <c r="D94">
        <v>7000</v>
      </c>
      <c r="E94" s="1">
        <v>6500</v>
      </c>
      <c r="F94" s="10">
        <v>6000</v>
      </c>
      <c r="G94" s="20">
        <v>5500</v>
      </c>
      <c r="H94" s="20">
        <v>5500</v>
      </c>
      <c r="I94" s="10">
        <v>6500</v>
      </c>
      <c r="J94" s="1"/>
      <c r="K94" s="1"/>
      <c r="L94" s="1"/>
      <c r="M94" s="1"/>
      <c r="N94" s="1"/>
      <c r="O94" s="10"/>
      <c r="P94">
        <f t="shared" ca="1" si="2"/>
        <v>10000000</v>
      </c>
    </row>
    <row r="95" spans="1:16" x14ac:dyDescent="0.3">
      <c r="A95" s="26">
        <f t="shared" si="3"/>
        <v>46327</v>
      </c>
      <c r="B95" s="19"/>
      <c r="C95">
        <v>5200</v>
      </c>
      <c r="D95">
        <v>4100</v>
      </c>
      <c r="E95" s="1">
        <v>5200</v>
      </c>
      <c r="F95" s="1">
        <v>5700</v>
      </c>
      <c r="G95" s="1">
        <v>5300</v>
      </c>
      <c r="H95" s="1">
        <v>5300</v>
      </c>
      <c r="I95" s="22">
        <v>6000</v>
      </c>
      <c r="J95" s="22"/>
      <c r="K95" s="22"/>
      <c r="L95" s="22"/>
      <c r="M95" s="22"/>
      <c r="N95" s="22"/>
      <c r="O95" s="1"/>
      <c r="P95">
        <f t="shared" ca="1" si="2"/>
        <v>10000000</v>
      </c>
    </row>
    <row r="96" spans="1:16" x14ac:dyDescent="0.3">
      <c r="A96" s="26">
        <f t="shared" si="3"/>
        <v>46328</v>
      </c>
      <c r="B96" s="19"/>
      <c r="C96">
        <v>5200</v>
      </c>
      <c r="D96">
        <v>4100</v>
      </c>
      <c r="E96" s="1">
        <v>5200</v>
      </c>
      <c r="F96" s="1">
        <v>5700</v>
      </c>
      <c r="G96" s="1">
        <v>5200</v>
      </c>
      <c r="H96" s="1">
        <v>5200</v>
      </c>
      <c r="I96" s="1">
        <v>5800</v>
      </c>
      <c r="J96" s="1"/>
      <c r="K96" s="1"/>
      <c r="L96" s="1"/>
      <c r="M96" s="1"/>
      <c r="N96" s="1"/>
      <c r="O96" s="1"/>
      <c r="P96">
        <f t="shared" ca="1" si="2"/>
        <v>10000000</v>
      </c>
    </row>
    <row r="97" spans="1:16" x14ac:dyDescent="0.3">
      <c r="A97" s="26">
        <f t="shared" si="3"/>
        <v>46329</v>
      </c>
      <c r="B97" s="19"/>
      <c r="C97">
        <v>5200</v>
      </c>
      <c r="D97">
        <v>4100</v>
      </c>
      <c r="E97" s="1">
        <v>5200</v>
      </c>
      <c r="F97" s="1">
        <v>5700</v>
      </c>
      <c r="G97" s="1">
        <v>5200</v>
      </c>
      <c r="H97" s="1">
        <v>5200</v>
      </c>
      <c r="I97" s="1">
        <v>5600</v>
      </c>
      <c r="J97" s="1"/>
      <c r="K97" s="1"/>
      <c r="L97" s="1"/>
      <c r="M97" s="1"/>
      <c r="N97" s="1"/>
      <c r="O97" s="1"/>
      <c r="P97">
        <f t="shared" ca="1" si="2"/>
        <v>10000000</v>
      </c>
    </row>
    <row r="98" spans="1:16" x14ac:dyDescent="0.3">
      <c r="A98" s="26">
        <f t="shared" si="3"/>
        <v>46330</v>
      </c>
      <c r="B98" s="19"/>
      <c r="C98">
        <v>5200</v>
      </c>
      <c r="D98">
        <v>4100</v>
      </c>
      <c r="E98" s="1">
        <v>5200</v>
      </c>
      <c r="F98" s="1">
        <v>5700</v>
      </c>
      <c r="G98" s="1">
        <v>5200</v>
      </c>
      <c r="H98" s="1">
        <v>5200</v>
      </c>
      <c r="I98" s="1">
        <v>5400</v>
      </c>
      <c r="J98" s="1"/>
      <c r="K98" s="1"/>
      <c r="L98" s="1"/>
      <c r="M98" s="1"/>
      <c r="N98" s="1"/>
      <c r="O98" s="1"/>
      <c r="P98">
        <f t="shared" ca="1" si="2"/>
        <v>10000000</v>
      </c>
    </row>
    <row r="99" spans="1:16" x14ac:dyDescent="0.3">
      <c r="A99" s="26">
        <f t="shared" si="3"/>
        <v>46331</v>
      </c>
      <c r="B99" s="19"/>
      <c r="C99">
        <v>5200</v>
      </c>
      <c r="D99">
        <v>4100</v>
      </c>
      <c r="E99" s="1">
        <v>5200</v>
      </c>
      <c r="F99" s="1">
        <v>5700</v>
      </c>
      <c r="G99" s="1">
        <v>5200</v>
      </c>
      <c r="H99" s="1">
        <v>5200</v>
      </c>
      <c r="I99" s="1">
        <v>5200</v>
      </c>
      <c r="J99" s="1"/>
      <c r="K99" s="1"/>
      <c r="L99" s="1"/>
      <c r="M99" s="1"/>
      <c r="N99" s="1"/>
      <c r="O99" s="1"/>
      <c r="P99">
        <f t="shared" ca="1" si="2"/>
        <v>10000000</v>
      </c>
    </row>
    <row r="100" spans="1:16" x14ac:dyDescent="0.3">
      <c r="A100" s="26">
        <f t="shared" si="3"/>
        <v>46332</v>
      </c>
      <c r="B100" s="19"/>
      <c r="C100">
        <v>5200</v>
      </c>
      <c r="D100">
        <v>4100</v>
      </c>
      <c r="E100" s="1">
        <v>5200</v>
      </c>
      <c r="F100" s="1">
        <v>5700</v>
      </c>
      <c r="G100" s="1">
        <v>5200</v>
      </c>
      <c r="H100" s="1">
        <v>5200</v>
      </c>
      <c r="I100" s="1">
        <v>5000</v>
      </c>
      <c r="J100" s="1"/>
      <c r="K100" s="1"/>
      <c r="L100" s="1"/>
      <c r="M100" s="1"/>
      <c r="N100" s="1"/>
      <c r="O100" s="1"/>
      <c r="P100">
        <f t="shared" ca="1" si="2"/>
        <v>10000000</v>
      </c>
    </row>
    <row r="101" spans="1:16" x14ac:dyDescent="0.3">
      <c r="A101" s="26">
        <f t="shared" si="3"/>
        <v>46333</v>
      </c>
      <c r="B101" s="19"/>
      <c r="C101">
        <v>5200</v>
      </c>
      <c r="D101">
        <v>4100</v>
      </c>
      <c r="E101" s="1">
        <v>5200</v>
      </c>
      <c r="F101" s="1">
        <v>5700</v>
      </c>
      <c r="G101" s="1">
        <v>5200</v>
      </c>
      <c r="H101" s="1">
        <v>5200</v>
      </c>
      <c r="I101" s="1">
        <v>4800</v>
      </c>
      <c r="J101" s="1"/>
      <c r="K101" s="1"/>
      <c r="L101" s="1"/>
      <c r="M101" s="1"/>
      <c r="N101" s="1"/>
      <c r="O101" s="1"/>
      <c r="P101">
        <f t="shared" ca="1" si="2"/>
        <v>10000000</v>
      </c>
    </row>
    <row r="102" spans="1:16" x14ac:dyDescent="0.3">
      <c r="A102" s="26">
        <f t="shared" si="3"/>
        <v>46334</v>
      </c>
      <c r="B102" s="19"/>
      <c r="C102">
        <v>5200</v>
      </c>
      <c r="D102">
        <v>4100</v>
      </c>
      <c r="E102" s="1">
        <v>5200</v>
      </c>
      <c r="F102" s="1">
        <v>5700</v>
      </c>
      <c r="G102" s="1">
        <v>5200</v>
      </c>
      <c r="H102" s="1">
        <v>5200</v>
      </c>
      <c r="I102" s="1">
        <v>4600</v>
      </c>
      <c r="J102" s="1"/>
      <c r="K102" s="1"/>
      <c r="L102" s="1"/>
      <c r="M102" s="1"/>
      <c r="N102" s="1"/>
      <c r="O102" s="1"/>
      <c r="P102">
        <f t="shared" ca="1" si="2"/>
        <v>10000000</v>
      </c>
    </row>
    <row r="103" spans="1:16" x14ac:dyDescent="0.3">
      <c r="A103" s="26">
        <f t="shared" si="3"/>
        <v>46335</v>
      </c>
      <c r="B103" s="19"/>
      <c r="C103">
        <v>5200</v>
      </c>
      <c r="D103">
        <v>4100</v>
      </c>
      <c r="E103" s="1">
        <v>5200</v>
      </c>
      <c r="F103" s="1">
        <v>5700</v>
      </c>
      <c r="G103" s="1">
        <v>5200</v>
      </c>
      <c r="H103" s="1">
        <v>5200</v>
      </c>
      <c r="I103" s="1">
        <v>4400</v>
      </c>
      <c r="J103" s="1"/>
      <c r="K103" s="1"/>
      <c r="L103" s="1"/>
      <c r="M103" s="1"/>
      <c r="N103" s="1"/>
      <c r="O103" s="1"/>
      <c r="P103">
        <f t="shared" ca="1" si="2"/>
        <v>10000000</v>
      </c>
    </row>
    <row r="104" spans="1:16" x14ac:dyDescent="0.3">
      <c r="A104" s="26">
        <f t="shared" si="3"/>
        <v>46336</v>
      </c>
      <c r="B104" s="19"/>
      <c r="C104">
        <v>5200</v>
      </c>
      <c r="D104">
        <v>4100</v>
      </c>
      <c r="E104" s="1">
        <v>5200</v>
      </c>
      <c r="F104" s="1">
        <v>5700</v>
      </c>
      <c r="G104" s="1">
        <v>5200</v>
      </c>
      <c r="H104" s="1">
        <v>5200</v>
      </c>
      <c r="I104" s="1">
        <v>4200</v>
      </c>
      <c r="J104" s="1"/>
      <c r="K104" s="1"/>
      <c r="L104" s="1"/>
      <c r="M104" s="1"/>
      <c r="N104" s="1"/>
      <c r="O104" s="1"/>
      <c r="P104">
        <f t="shared" ca="1" si="2"/>
        <v>10000000</v>
      </c>
    </row>
    <row r="105" spans="1:16" x14ac:dyDescent="0.3">
      <c r="A105" s="26">
        <f t="shared" si="3"/>
        <v>46337</v>
      </c>
      <c r="B105" s="19"/>
      <c r="C105">
        <v>5200</v>
      </c>
      <c r="D105">
        <v>4100</v>
      </c>
      <c r="E105" s="1">
        <v>5200</v>
      </c>
      <c r="F105" s="1">
        <v>5700</v>
      </c>
      <c r="G105" s="1">
        <v>5200</v>
      </c>
      <c r="H105" s="1">
        <v>5200</v>
      </c>
      <c r="I105" s="15">
        <v>4000</v>
      </c>
      <c r="J105" s="1"/>
      <c r="K105" s="1"/>
      <c r="L105" s="1"/>
      <c r="M105" s="1"/>
      <c r="N105" s="1"/>
      <c r="O105" s="1"/>
      <c r="P105">
        <f t="shared" ca="1" si="2"/>
        <v>10000000</v>
      </c>
    </row>
    <row r="106" spans="1:16" x14ac:dyDescent="0.3">
      <c r="A106" s="26">
        <f t="shared" si="3"/>
        <v>46338</v>
      </c>
      <c r="B106" s="19"/>
      <c r="C106">
        <v>5200</v>
      </c>
      <c r="D106">
        <v>4100</v>
      </c>
      <c r="E106" s="1">
        <v>5200</v>
      </c>
      <c r="F106" s="1">
        <v>5700</v>
      </c>
      <c r="G106" s="1">
        <v>5200</v>
      </c>
      <c r="H106" s="1">
        <v>5200</v>
      </c>
      <c r="I106" s="1">
        <v>4000</v>
      </c>
      <c r="J106" s="1"/>
      <c r="K106" s="1"/>
      <c r="L106" s="1"/>
      <c r="M106" s="1"/>
      <c r="N106" s="1"/>
      <c r="O106" s="1"/>
      <c r="P106">
        <f t="shared" ca="1" si="2"/>
        <v>10000000</v>
      </c>
    </row>
    <row r="107" spans="1:16" x14ac:dyDescent="0.3">
      <c r="A107" s="26">
        <f t="shared" si="3"/>
        <v>46339</v>
      </c>
      <c r="B107" s="19"/>
      <c r="C107">
        <v>5200</v>
      </c>
      <c r="D107">
        <v>4100</v>
      </c>
      <c r="E107" s="1">
        <v>5200</v>
      </c>
      <c r="F107" s="1">
        <v>5700</v>
      </c>
      <c r="G107" s="1">
        <v>5200</v>
      </c>
      <c r="H107" s="1">
        <v>5200</v>
      </c>
      <c r="I107" s="1">
        <v>4000</v>
      </c>
      <c r="J107" s="1"/>
      <c r="K107" s="1"/>
      <c r="L107" s="1"/>
      <c r="M107" s="1"/>
      <c r="N107" s="1"/>
      <c r="O107" s="1"/>
      <c r="P107">
        <f t="shared" ca="1" si="2"/>
        <v>10000000</v>
      </c>
    </row>
    <row r="108" spans="1:16" x14ac:dyDescent="0.3">
      <c r="A108" s="26">
        <f t="shared" si="3"/>
        <v>46340</v>
      </c>
      <c r="B108" s="19"/>
      <c r="C108">
        <v>5200</v>
      </c>
      <c r="D108">
        <v>4100</v>
      </c>
      <c r="E108" s="1">
        <v>5200</v>
      </c>
      <c r="F108" s="1">
        <v>5700</v>
      </c>
      <c r="G108" s="1">
        <v>5200</v>
      </c>
      <c r="H108" s="1">
        <v>5200</v>
      </c>
      <c r="I108" s="1">
        <v>4000</v>
      </c>
      <c r="J108" s="1"/>
      <c r="K108" s="1"/>
      <c r="L108" s="1"/>
      <c r="M108" s="1"/>
      <c r="N108" s="1"/>
      <c r="O108" s="1"/>
      <c r="P108">
        <f t="shared" ca="1" si="2"/>
        <v>10000000</v>
      </c>
    </row>
    <row r="109" spans="1:16" x14ac:dyDescent="0.3">
      <c r="A109" s="26">
        <f t="shared" si="3"/>
        <v>46341</v>
      </c>
      <c r="B109" s="19"/>
      <c r="C109">
        <v>5200</v>
      </c>
      <c r="D109">
        <v>4100</v>
      </c>
      <c r="E109" s="1">
        <v>5200</v>
      </c>
      <c r="F109" s="1">
        <v>5700</v>
      </c>
      <c r="G109" s="1">
        <v>5000</v>
      </c>
      <c r="H109" s="1">
        <v>5000</v>
      </c>
      <c r="I109" s="1">
        <v>4000</v>
      </c>
      <c r="J109" s="1"/>
      <c r="K109" s="1"/>
      <c r="L109" s="1"/>
      <c r="M109" s="1"/>
      <c r="N109" s="1"/>
      <c r="O109" s="1"/>
      <c r="P109">
        <f t="shared" ca="1" si="2"/>
        <v>10000000</v>
      </c>
    </row>
    <row r="110" spans="1:16" x14ac:dyDescent="0.3">
      <c r="A110" s="26">
        <f t="shared" si="3"/>
        <v>46342</v>
      </c>
      <c r="B110" s="19"/>
      <c r="C110">
        <v>5200</v>
      </c>
      <c r="D110">
        <v>4100</v>
      </c>
      <c r="E110" s="1">
        <v>5200</v>
      </c>
      <c r="F110" s="1">
        <v>5700</v>
      </c>
      <c r="G110" s="1">
        <v>4800</v>
      </c>
      <c r="H110" s="1">
        <v>4800</v>
      </c>
      <c r="I110" s="1">
        <v>4000</v>
      </c>
      <c r="J110" s="1"/>
      <c r="K110" s="1"/>
      <c r="L110" s="1"/>
      <c r="M110" s="1"/>
      <c r="N110" s="1"/>
      <c r="O110" s="1"/>
      <c r="P110">
        <f t="shared" ca="1" si="2"/>
        <v>10000000</v>
      </c>
    </row>
    <row r="111" spans="1:16" x14ac:dyDescent="0.3">
      <c r="A111" s="26">
        <f t="shared" si="3"/>
        <v>46343</v>
      </c>
      <c r="B111" s="19"/>
      <c r="C111">
        <v>5200</v>
      </c>
      <c r="D111">
        <v>4100</v>
      </c>
      <c r="E111" s="1">
        <v>5200</v>
      </c>
      <c r="F111" s="1">
        <v>5700</v>
      </c>
      <c r="G111" s="1">
        <v>4600</v>
      </c>
      <c r="H111" s="1">
        <v>4600</v>
      </c>
      <c r="I111" s="1">
        <v>4000</v>
      </c>
      <c r="J111" s="1"/>
      <c r="K111" s="1"/>
      <c r="L111" s="1"/>
      <c r="M111" s="1"/>
      <c r="N111" s="1"/>
      <c r="O111" s="1"/>
      <c r="P111">
        <f t="shared" ca="1" si="2"/>
        <v>10000000</v>
      </c>
    </row>
    <row r="112" spans="1:16" x14ac:dyDescent="0.3">
      <c r="A112" s="26">
        <f t="shared" si="3"/>
        <v>46344</v>
      </c>
      <c r="B112" s="19"/>
      <c r="C112">
        <v>5200</v>
      </c>
      <c r="D112">
        <v>4100</v>
      </c>
      <c r="E112" s="1">
        <v>5200</v>
      </c>
      <c r="F112" s="1">
        <v>5700</v>
      </c>
      <c r="G112" s="1">
        <v>4600</v>
      </c>
      <c r="H112" s="1">
        <v>4600</v>
      </c>
      <c r="I112" s="1">
        <v>4000</v>
      </c>
      <c r="J112" s="1"/>
      <c r="K112" s="1"/>
      <c r="L112" s="1"/>
      <c r="M112" s="1"/>
      <c r="N112" s="1"/>
      <c r="O112" s="1"/>
      <c r="P112">
        <f t="shared" ca="1" si="2"/>
        <v>10000000</v>
      </c>
    </row>
    <row r="113" spans="1:16" x14ac:dyDescent="0.3">
      <c r="A113" s="26">
        <f t="shared" si="3"/>
        <v>46345</v>
      </c>
      <c r="B113" s="19"/>
      <c r="C113">
        <v>5200</v>
      </c>
      <c r="D113">
        <v>4100</v>
      </c>
      <c r="E113" s="1">
        <v>5200</v>
      </c>
      <c r="F113" s="1">
        <v>5700</v>
      </c>
      <c r="G113" s="1">
        <v>4600</v>
      </c>
      <c r="H113" s="1">
        <v>4600</v>
      </c>
      <c r="I113" s="1">
        <v>4000</v>
      </c>
      <c r="J113" s="1"/>
      <c r="K113" s="1"/>
      <c r="L113" s="1"/>
      <c r="M113" s="1"/>
      <c r="N113" s="1"/>
      <c r="O113" s="1"/>
      <c r="P113">
        <f t="shared" ca="1" si="2"/>
        <v>10000000</v>
      </c>
    </row>
    <row r="114" spans="1:16" x14ac:dyDescent="0.3">
      <c r="A114" s="26">
        <f t="shared" si="3"/>
        <v>46346</v>
      </c>
      <c r="B114" s="19"/>
      <c r="C114">
        <v>5200</v>
      </c>
      <c r="D114">
        <v>4100</v>
      </c>
      <c r="E114" s="1">
        <v>5200</v>
      </c>
      <c r="F114" s="1">
        <v>5700</v>
      </c>
      <c r="G114" s="1">
        <v>4600</v>
      </c>
      <c r="H114" s="1">
        <v>4600</v>
      </c>
      <c r="I114" s="1">
        <v>4000</v>
      </c>
      <c r="J114" s="1"/>
      <c r="K114" s="1"/>
      <c r="L114" s="1"/>
      <c r="M114" s="1"/>
      <c r="N114" s="1"/>
      <c r="O114" s="1"/>
      <c r="P114">
        <f t="shared" ca="1" si="2"/>
        <v>10000000</v>
      </c>
    </row>
    <row r="115" spans="1:16" x14ac:dyDescent="0.3">
      <c r="A115" s="26">
        <f t="shared" si="3"/>
        <v>46347</v>
      </c>
      <c r="B115" s="19"/>
      <c r="C115">
        <v>5200</v>
      </c>
      <c r="D115">
        <v>4100</v>
      </c>
      <c r="E115" s="1">
        <v>5200</v>
      </c>
      <c r="F115" s="1">
        <v>5700</v>
      </c>
      <c r="G115" s="1">
        <v>4400</v>
      </c>
      <c r="H115" s="1">
        <v>4400</v>
      </c>
      <c r="I115" s="1">
        <v>4000</v>
      </c>
      <c r="J115" s="1"/>
      <c r="K115" s="1"/>
      <c r="L115" s="1"/>
      <c r="M115" s="1"/>
      <c r="N115" s="1"/>
      <c r="O115" s="1"/>
      <c r="P115">
        <f t="shared" ca="1" si="2"/>
        <v>10000000</v>
      </c>
    </row>
    <row r="116" spans="1:16" x14ac:dyDescent="0.3">
      <c r="A116" s="26">
        <f t="shared" si="3"/>
        <v>46348</v>
      </c>
      <c r="B116" s="19"/>
      <c r="C116">
        <v>5200</v>
      </c>
      <c r="D116">
        <v>4100</v>
      </c>
      <c r="E116" s="1">
        <v>5200</v>
      </c>
      <c r="F116" s="1">
        <v>5700</v>
      </c>
      <c r="G116" s="1">
        <v>4200</v>
      </c>
      <c r="H116" s="1">
        <v>4200</v>
      </c>
      <c r="I116" s="1">
        <v>4000</v>
      </c>
      <c r="J116" s="1"/>
      <c r="K116" s="1"/>
      <c r="L116" s="1"/>
      <c r="M116" s="1"/>
      <c r="N116" s="1"/>
      <c r="O116" s="1"/>
      <c r="P116">
        <f t="shared" ca="1" si="2"/>
        <v>10000000</v>
      </c>
    </row>
    <row r="117" spans="1:16" x14ac:dyDescent="0.3">
      <c r="A117" s="26">
        <f t="shared" si="3"/>
        <v>46349</v>
      </c>
      <c r="B117" s="19"/>
      <c r="C117">
        <v>5200</v>
      </c>
      <c r="D117">
        <v>4100</v>
      </c>
      <c r="E117" s="1">
        <v>5200</v>
      </c>
      <c r="F117" s="1">
        <v>5700</v>
      </c>
      <c r="G117" s="1">
        <v>4000</v>
      </c>
      <c r="H117" s="15">
        <v>4000</v>
      </c>
      <c r="I117" s="1">
        <v>4000</v>
      </c>
      <c r="J117" s="1"/>
      <c r="K117" s="1"/>
      <c r="L117" s="1"/>
      <c r="M117" s="1"/>
      <c r="N117" s="1"/>
      <c r="O117" s="1"/>
      <c r="P117">
        <f t="shared" ca="1" si="2"/>
        <v>10000000</v>
      </c>
    </row>
    <row r="118" spans="1:16" x14ac:dyDescent="0.3">
      <c r="A118" s="26">
        <f t="shared" si="3"/>
        <v>46350</v>
      </c>
      <c r="B118" s="19"/>
      <c r="C118">
        <v>5200</v>
      </c>
      <c r="D118">
        <v>4100</v>
      </c>
      <c r="E118" s="1">
        <v>5200</v>
      </c>
      <c r="F118" s="1">
        <v>5700</v>
      </c>
      <c r="G118" s="1">
        <v>3900</v>
      </c>
      <c r="H118" s="1">
        <v>4000</v>
      </c>
      <c r="I118" s="1">
        <v>4000</v>
      </c>
      <c r="J118" s="1"/>
      <c r="K118" s="1"/>
      <c r="L118" s="1"/>
      <c r="M118" s="1"/>
      <c r="N118" s="1"/>
      <c r="O118" s="1"/>
      <c r="P118">
        <f t="shared" ca="1" si="2"/>
        <v>10000000</v>
      </c>
    </row>
    <row r="119" spans="1:16" x14ac:dyDescent="0.3">
      <c r="A119" s="26">
        <f t="shared" si="3"/>
        <v>46351</v>
      </c>
      <c r="B119" s="19"/>
      <c r="C119">
        <v>5200</v>
      </c>
      <c r="D119">
        <v>4100</v>
      </c>
      <c r="E119" s="1">
        <v>5200</v>
      </c>
      <c r="F119" s="1">
        <v>5700</v>
      </c>
      <c r="G119" s="1">
        <v>3800</v>
      </c>
      <c r="H119" s="1">
        <v>4000</v>
      </c>
      <c r="I119" s="1">
        <v>4000</v>
      </c>
      <c r="J119" s="1"/>
      <c r="K119" s="1"/>
      <c r="L119" s="1"/>
      <c r="M119" s="1"/>
      <c r="N119" s="1"/>
      <c r="O119" s="1"/>
      <c r="P119">
        <f t="shared" ca="1" si="2"/>
        <v>10000000</v>
      </c>
    </row>
    <row r="120" spans="1:16" x14ac:dyDescent="0.3">
      <c r="A120" s="26">
        <f t="shared" si="3"/>
        <v>46352</v>
      </c>
      <c r="B120" s="19"/>
      <c r="C120">
        <v>5200</v>
      </c>
      <c r="D120">
        <v>4100</v>
      </c>
      <c r="E120" s="1">
        <v>5200</v>
      </c>
      <c r="F120" s="1">
        <v>5700</v>
      </c>
      <c r="G120" s="1">
        <v>3700</v>
      </c>
      <c r="H120" s="1">
        <v>4000</v>
      </c>
      <c r="I120" s="1">
        <v>4000</v>
      </c>
      <c r="J120" s="1"/>
      <c r="K120" s="1"/>
      <c r="L120" s="1"/>
      <c r="M120" s="1"/>
      <c r="N120" s="1"/>
      <c r="O120" s="1"/>
      <c r="P120">
        <f t="shared" ca="1" si="2"/>
        <v>10000000</v>
      </c>
    </row>
    <row r="121" spans="1:16" x14ac:dyDescent="0.3">
      <c r="A121" s="26">
        <f t="shared" si="3"/>
        <v>46353</v>
      </c>
      <c r="B121" s="19"/>
      <c r="C121">
        <v>5200</v>
      </c>
      <c r="D121">
        <v>4100</v>
      </c>
      <c r="E121" s="1">
        <v>5200</v>
      </c>
      <c r="F121" s="1">
        <v>5700</v>
      </c>
      <c r="G121" s="1">
        <v>3600</v>
      </c>
      <c r="H121" s="1">
        <v>4000</v>
      </c>
      <c r="I121" s="1">
        <v>4000</v>
      </c>
      <c r="J121" s="1"/>
      <c r="K121" s="1"/>
      <c r="L121" s="1"/>
      <c r="M121" s="1"/>
      <c r="N121" s="1"/>
      <c r="O121" s="1"/>
      <c r="P121">
        <f t="shared" ca="1" si="2"/>
        <v>10000000</v>
      </c>
    </row>
    <row r="122" spans="1:16" x14ac:dyDescent="0.3">
      <c r="A122" s="26">
        <f t="shared" si="3"/>
        <v>46354</v>
      </c>
      <c r="B122" s="19"/>
      <c r="C122">
        <v>5200</v>
      </c>
      <c r="D122">
        <v>4100</v>
      </c>
      <c r="E122" s="1">
        <v>5200</v>
      </c>
      <c r="F122" s="1">
        <v>5700</v>
      </c>
      <c r="G122" s="1">
        <v>3500</v>
      </c>
      <c r="H122" s="1">
        <v>4000</v>
      </c>
      <c r="I122" s="1">
        <v>4000</v>
      </c>
      <c r="J122" s="1"/>
      <c r="K122" s="1"/>
      <c r="L122" s="1"/>
      <c r="M122" s="1"/>
      <c r="N122" s="1"/>
      <c r="O122" s="1"/>
      <c r="P122">
        <f t="shared" ca="1" si="2"/>
        <v>10000000</v>
      </c>
    </row>
    <row r="123" spans="1:16" x14ac:dyDescent="0.3">
      <c r="A123" s="26">
        <f t="shared" si="3"/>
        <v>46355</v>
      </c>
      <c r="B123" s="19"/>
      <c r="C123">
        <v>5200</v>
      </c>
      <c r="D123">
        <v>4100</v>
      </c>
      <c r="E123" s="1">
        <v>5200</v>
      </c>
      <c r="F123" s="1">
        <v>5700</v>
      </c>
      <c r="G123" s="1">
        <v>3400</v>
      </c>
      <c r="H123" s="1">
        <v>4000</v>
      </c>
      <c r="I123" s="1">
        <v>4000</v>
      </c>
      <c r="J123" s="1"/>
      <c r="K123" s="1"/>
      <c r="L123" s="1"/>
      <c r="M123" s="1"/>
      <c r="N123" s="1"/>
      <c r="O123" s="1"/>
      <c r="P123">
        <f t="shared" ca="1" si="2"/>
        <v>10000000</v>
      </c>
    </row>
    <row r="124" spans="1:16" x14ac:dyDescent="0.3">
      <c r="A124" s="44">
        <f t="shared" si="3"/>
        <v>46356</v>
      </c>
      <c r="B124" s="37"/>
      <c r="C124">
        <v>5200</v>
      </c>
      <c r="D124">
        <v>4100</v>
      </c>
      <c r="E124" s="23">
        <v>5200</v>
      </c>
      <c r="F124" s="1">
        <v>5700</v>
      </c>
      <c r="G124" s="23">
        <v>3300</v>
      </c>
      <c r="H124" s="1">
        <v>4000</v>
      </c>
      <c r="I124" s="1">
        <v>4000</v>
      </c>
      <c r="J124" s="1"/>
      <c r="K124" s="1"/>
      <c r="L124" s="1"/>
      <c r="M124" s="1"/>
      <c r="N124" s="1"/>
      <c r="O124" s="23"/>
      <c r="P124">
        <f t="shared" ca="1" si="2"/>
        <v>10000000</v>
      </c>
    </row>
    <row r="125" spans="1:16" x14ac:dyDescent="0.3">
      <c r="A125" s="26">
        <f t="shared" si="3"/>
        <v>46357</v>
      </c>
      <c r="B125" s="19"/>
      <c r="C125">
        <v>3250</v>
      </c>
      <c r="D125">
        <v>3250</v>
      </c>
      <c r="E125" s="1">
        <v>3250</v>
      </c>
      <c r="F125" s="1">
        <v>3250</v>
      </c>
      <c r="G125" s="1">
        <v>3250</v>
      </c>
      <c r="H125" s="1">
        <v>4000</v>
      </c>
      <c r="I125" s="1">
        <v>4000</v>
      </c>
      <c r="J125" s="22"/>
      <c r="K125" s="22"/>
      <c r="L125" s="22"/>
      <c r="M125" s="22"/>
      <c r="N125" s="22"/>
      <c r="O125" s="1"/>
      <c r="P125">
        <f t="shared" ca="1" si="2"/>
        <v>10000000</v>
      </c>
    </row>
    <row r="126" spans="1:16" x14ac:dyDescent="0.3">
      <c r="A126" s="26">
        <f t="shared" si="3"/>
        <v>46358</v>
      </c>
      <c r="B126" s="19"/>
      <c r="C126">
        <v>3250</v>
      </c>
      <c r="D126">
        <v>3250</v>
      </c>
      <c r="E126" s="1">
        <v>3250</v>
      </c>
      <c r="F126" s="1">
        <v>3250</v>
      </c>
      <c r="G126" s="1">
        <v>3250</v>
      </c>
      <c r="H126" s="1">
        <v>4000</v>
      </c>
      <c r="I126" s="1">
        <v>4000</v>
      </c>
      <c r="J126" s="1"/>
      <c r="K126" s="1"/>
      <c r="L126" s="1"/>
      <c r="M126" s="1"/>
      <c r="N126" s="1"/>
      <c r="O126" s="1"/>
      <c r="P126">
        <f t="shared" ca="1" si="2"/>
        <v>10000000</v>
      </c>
    </row>
    <row r="127" spans="1:16" x14ac:dyDescent="0.3">
      <c r="A127" s="26">
        <f t="shared" si="3"/>
        <v>46359</v>
      </c>
      <c r="B127" s="19"/>
      <c r="C127">
        <v>3250</v>
      </c>
      <c r="D127">
        <v>3250</v>
      </c>
      <c r="E127" s="1">
        <v>3250</v>
      </c>
      <c r="F127" s="1">
        <v>3250</v>
      </c>
      <c r="G127" s="1">
        <v>3250</v>
      </c>
      <c r="H127" s="1">
        <v>4000</v>
      </c>
      <c r="I127" s="1">
        <v>4000</v>
      </c>
      <c r="J127" s="1"/>
      <c r="K127" s="1"/>
      <c r="L127" s="1"/>
      <c r="M127" s="1"/>
      <c r="N127" s="1"/>
      <c r="O127" s="1"/>
      <c r="P127">
        <f t="shared" ca="1" si="2"/>
        <v>10000000</v>
      </c>
    </row>
    <row r="128" spans="1:16" x14ac:dyDescent="0.3">
      <c r="A128" s="26">
        <f t="shared" si="3"/>
        <v>46360</v>
      </c>
      <c r="B128" s="19"/>
      <c r="C128">
        <v>3250</v>
      </c>
      <c r="D128">
        <v>3250</v>
      </c>
      <c r="E128" s="1">
        <v>3250</v>
      </c>
      <c r="F128" s="1">
        <v>3250</v>
      </c>
      <c r="G128" s="1">
        <v>3250</v>
      </c>
      <c r="H128" s="1">
        <v>4000</v>
      </c>
      <c r="I128" s="1">
        <v>4000</v>
      </c>
      <c r="J128" s="1"/>
      <c r="K128" s="1"/>
      <c r="L128" s="1"/>
      <c r="M128" s="1"/>
      <c r="N128" s="1"/>
      <c r="O128" s="1"/>
      <c r="P128">
        <f t="shared" ca="1" si="2"/>
        <v>10000000</v>
      </c>
    </row>
    <row r="129" spans="1:16" x14ac:dyDescent="0.3">
      <c r="A129" s="26">
        <f t="shared" si="3"/>
        <v>46361</v>
      </c>
      <c r="B129" s="19"/>
      <c r="C129">
        <v>3250</v>
      </c>
      <c r="D129">
        <v>3250</v>
      </c>
      <c r="E129" s="1">
        <v>3250</v>
      </c>
      <c r="F129" s="1">
        <v>3250</v>
      </c>
      <c r="G129" s="1">
        <v>3250</v>
      </c>
      <c r="H129" s="1">
        <v>4000</v>
      </c>
      <c r="I129" s="1">
        <v>4000</v>
      </c>
      <c r="J129" s="1"/>
      <c r="K129" s="1"/>
      <c r="L129" s="1"/>
      <c r="M129" s="1"/>
      <c r="N129" s="1"/>
      <c r="O129" s="1"/>
      <c r="P129">
        <f t="shared" ca="1" si="2"/>
        <v>10000000</v>
      </c>
    </row>
    <row r="130" spans="1:16" x14ac:dyDescent="0.3">
      <c r="A130" s="26">
        <f t="shared" si="3"/>
        <v>46362</v>
      </c>
      <c r="B130" s="19"/>
      <c r="C130">
        <v>3250</v>
      </c>
      <c r="D130">
        <v>3250</v>
      </c>
      <c r="E130" s="1">
        <v>3250</v>
      </c>
      <c r="F130" s="1">
        <v>3250</v>
      </c>
      <c r="G130" s="1">
        <v>3250</v>
      </c>
      <c r="H130" s="1">
        <v>4000</v>
      </c>
      <c r="I130" s="1">
        <v>4000</v>
      </c>
      <c r="J130" s="1"/>
      <c r="K130" s="1"/>
      <c r="L130" s="1"/>
      <c r="M130" s="1"/>
      <c r="N130" s="1"/>
      <c r="O130" s="1"/>
      <c r="P130">
        <f t="shared" ca="1" si="2"/>
        <v>10000000</v>
      </c>
    </row>
    <row r="131" spans="1:16" x14ac:dyDescent="0.3">
      <c r="A131" s="26">
        <f t="shared" si="3"/>
        <v>46363</v>
      </c>
      <c r="B131" s="19"/>
      <c r="C131">
        <v>3250</v>
      </c>
      <c r="D131">
        <v>3250</v>
      </c>
      <c r="E131" s="1">
        <v>3250</v>
      </c>
      <c r="F131" s="1">
        <v>3250</v>
      </c>
      <c r="G131" s="1">
        <v>3250</v>
      </c>
      <c r="H131" s="1">
        <v>4000</v>
      </c>
      <c r="I131" s="1">
        <v>4000</v>
      </c>
      <c r="J131" s="1"/>
      <c r="K131" s="1"/>
      <c r="L131" s="1"/>
      <c r="M131" s="1"/>
      <c r="N131" s="1"/>
      <c r="O131" s="1"/>
      <c r="P131">
        <f t="shared" ref="P131:P194" ca="1" si="4">IF(TODAY()&gt;A131,-100,10000000)</f>
        <v>10000000</v>
      </c>
    </row>
    <row r="132" spans="1:16" x14ac:dyDescent="0.3">
      <c r="A132" s="26">
        <f t="shared" si="3"/>
        <v>46364</v>
      </c>
      <c r="B132" s="19"/>
      <c r="C132">
        <v>3250</v>
      </c>
      <c r="D132">
        <v>3250</v>
      </c>
      <c r="E132" s="1">
        <v>3250</v>
      </c>
      <c r="F132" s="1">
        <v>3250</v>
      </c>
      <c r="G132" s="1">
        <v>3250</v>
      </c>
      <c r="H132" s="1">
        <v>4000</v>
      </c>
      <c r="I132" s="1">
        <v>4000</v>
      </c>
      <c r="J132" s="1"/>
      <c r="K132" s="1"/>
      <c r="L132" s="1"/>
      <c r="M132" s="1"/>
      <c r="N132" s="1"/>
      <c r="O132" s="1"/>
      <c r="P132">
        <f t="shared" ca="1" si="4"/>
        <v>10000000</v>
      </c>
    </row>
    <row r="133" spans="1:16" x14ac:dyDescent="0.3">
      <c r="A133" s="26">
        <f t="shared" ref="A133:A196" si="5">A132+1</f>
        <v>46365</v>
      </c>
      <c r="B133" s="19"/>
      <c r="C133">
        <v>3250</v>
      </c>
      <c r="D133">
        <v>3250</v>
      </c>
      <c r="E133" s="1">
        <v>3250</v>
      </c>
      <c r="F133" s="1">
        <v>3250</v>
      </c>
      <c r="G133" s="1">
        <v>3250</v>
      </c>
      <c r="H133" s="1">
        <v>4000</v>
      </c>
      <c r="I133" s="1">
        <v>4000</v>
      </c>
      <c r="J133" s="1"/>
      <c r="K133" s="1"/>
      <c r="L133" s="1"/>
      <c r="M133" s="1"/>
      <c r="N133" s="1"/>
      <c r="O133" s="1"/>
      <c r="P133">
        <f t="shared" ca="1" si="4"/>
        <v>10000000</v>
      </c>
    </row>
    <row r="134" spans="1:16" x14ac:dyDescent="0.3">
      <c r="A134" s="26">
        <f t="shared" si="5"/>
        <v>46366</v>
      </c>
      <c r="B134" s="19"/>
      <c r="C134">
        <v>3250</v>
      </c>
      <c r="D134">
        <v>3250</v>
      </c>
      <c r="E134" s="1">
        <v>3250</v>
      </c>
      <c r="F134" s="1">
        <v>3250</v>
      </c>
      <c r="G134" s="1">
        <v>3250</v>
      </c>
      <c r="H134" s="1">
        <v>4000</v>
      </c>
      <c r="I134" s="1">
        <v>4000</v>
      </c>
      <c r="J134" s="1"/>
      <c r="K134" s="1"/>
      <c r="L134" s="1"/>
      <c r="M134" s="1"/>
      <c r="N134" s="1"/>
      <c r="O134" s="1"/>
      <c r="P134">
        <f t="shared" ca="1" si="4"/>
        <v>10000000</v>
      </c>
    </row>
    <row r="135" spans="1:16" x14ac:dyDescent="0.3">
      <c r="A135" s="26">
        <f t="shared" si="5"/>
        <v>46367</v>
      </c>
      <c r="B135" s="19"/>
      <c r="C135">
        <v>3250</v>
      </c>
      <c r="D135">
        <v>3250</v>
      </c>
      <c r="E135" s="1">
        <v>3250</v>
      </c>
      <c r="F135" s="1">
        <v>3250</v>
      </c>
      <c r="G135" s="1">
        <v>3250</v>
      </c>
      <c r="H135" s="1">
        <v>4000</v>
      </c>
      <c r="I135" s="1">
        <v>4000</v>
      </c>
      <c r="J135" s="1"/>
      <c r="K135" s="1"/>
      <c r="L135" s="1"/>
      <c r="M135" s="1"/>
      <c r="N135" s="1"/>
      <c r="O135" s="1"/>
      <c r="P135">
        <f t="shared" ca="1" si="4"/>
        <v>10000000</v>
      </c>
    </row>
    <row r="136" spans="1:16" x14ac:dyDescent="0.3">
      <c r="A136" s="26">
        <f t="shared" si="5"/>
        <v>46368</v>
      </c>
      <c r="B136" s="19"/>
      <c r="C136">
        <v>3250</v>
      </c>
      <c r="D136">
        <v>3250</v>
      </c>
      <c r="E136" s="1">
        <v>3250</v>
      </c>
      <c r="F136" s="1">
        <v>3250</v>
      </c>
      <c r="G136" s="1">
        <v>3250</v>
      </c>
      <c r="H136" s="1">
        <v>4000</v>
      </c>
      <c r="I136" s="1">
        <v>4000</v>
      </c>
      <c r="J136" s="1"/>
      <c r="K136" s="1"/>
      <c r="L136" s="1"/>
      <c r="M136" s="1"/>
      <c r="N136" s="1"/>
      <c r="O136" s="1"/>
      <c r="P136">
        <f t="shared" ca="1" si="4"/>
        <v>10000000</v>
      </c>
    </row>
    <row r="137" spans="1:16" x14ac:dyDescent="0.3">
      <c r="A137" s="26">
        <f t="shared" si="5"/>
        <v>46369</v>
      </c>
      <c r="B137" s="19"/>
      <c r="C137">
        <v>3250</v>
      </c>
      <c r="D137">
        <v>3250</v>
      </c>
      <c r="E137" s="1">
        <v>3250</v>
      </c>
      <c r="F137" s="1">
        <v>3250</v>
      </c>
      <c r="G137" s="1">
        <v>3250</v>
      </c>
      <c r="H137" s="1">
        <v>4000</v>
      </c>
      <c r="I137" s="1">
        <v>4000</v>
      </c>
      <c r="J137" s="1"/>
      <c r="K137" s="1"/>
      <c r="L137" s="1"/>
      <c r="M137" s="1"/>
      <c r="N137" s="1"/>
      <c r="O137" s="1"/>
      <c r="P137">
        <f t="shared" ca="1" si="4"/>
        <v>10000000</v>
      </c>
    </row>
    <row r="138" spans="1:16" x14ac:dyDescent="0.3">
      <c r="A138" s="26">
        <f t="shared" si="5"/>
        <v>46370</v>
      </c>
      <c r="B138" s="19"/>
      <c r="C138">
        <v>3250</v>
      </c>
      <c r="D138">
        <v>3250</v>
      </c>
      <c r="E138" s="1">
        <v>3250</v>
      </c>
      <c r="F138" s="1">
        <v>3250</v>
      </c>
      <c r="G138" s="1">
        <v>3250</v>
      </c>
      <c r="H138" s="1">
        <v>4000</v>
      </c>
      <c r="I138" s="1">
        <v>4000</v>
      </c>
      <c r="J138" s="1"/>
      <c r="K138" s="1"/>
      <c r="L138" s="1"/>
      <c r="M138" s="1"/>
      <c r="N138" s="1"/>
      <c r="O138" s="1"/>
      <c r="P138">
        <f t="shared" ca="1" si="4"/>
        <v>10000000</v>
      </c>
    </row>
    <row r="139" spans="1:16" x14ac:dyDescent="0.3">
      <c r="A139" s="26">
        <f t="shared" si="5"/>
        <v>46371</v>
      </c>
      <c r="B139" s="19"/>
      <c r="C139">
        <v>3250</v>
      </c>
      <c r="D139">
        <v>3250</v>
      </c>
      <c r="E139" s="1">
        <v>3250</v>
      </c>
      <c r="F139" s="1">
        <v>3250</v>
      </c>
      <c r="G139" s="1">
        <v>3250</v>
      </c>
      <c r="H139" s="1">
        <v>4000</v>
      </c>
      <c r="I139" s="1">
        <v>4000</v>
      </c>
      <c r="J139" s="1"/>
      <c r="K139" s="1"/>
      <c r="L139" s="1"/>
      <c r="M139" s="1"/>
      <c r="N139" s="1"/>
      <c r="O139" s="1"/>
      <c r="P139">
        <f t="shared" ca="1" si="4"/>
        <v>10000000</v>
      </c>
    </row>
    <row r="140" spans="1:16" x14ac:dyDescent="0.3">
      <c r="A140" s="26">
        <f t="shared" si="5"/>
        <v>46372</v>
      </c>
      <c r="B140" s="19"/>
      <c r="C140">
        <v>3250</v>
      </c>
      <c r="D140">
        <v>3250</v>
      </c>
      <c r="E140" s="1">
        <v>3250</v>
      </c>
      <c r="F140" s="1">
        <v>3250</v>
      </c>
      <c r="G140" s="1">
        <v>3250</v>
      </c>
      <c r="H140" s="1">
        <v>4000</v>
      </c>
      <c r="I140" s="1">
        <v>4000</v>
      </c>
      <c r="J140" s="1"/>
      <c r="K140" s="1"/>
      <c r="L140" s="1"/>
      <c r="M140" s="1"/>
      <c r="N140" s="1"/>
      <c r="O140" s="1"/>
      <c r="P140">
        <f t="shared" ca="1" si="4"/>
        <v>10000000</v>
      </c>
    </row>
    <row r="141" spans="1:16" x14ac:dyDescent="0.3">
      <c r="A141" s="26">
        <f t="shared" si="5"/>
        <v>46373</v>
      </c>
      <c r="B141" s="19"/>
      <c r="C141">
        <v>3250</v>
      </c>
      <c r="D141">
        <v>3250</v>
      </c>
      <c r="E141" s="1">
        <v>3250</v>
      </c>
      <c r="F141" s="1">
        <v>3250</v>
      </c>
      <c r="G141" s="1">
        <v>3250</v>
      </c>
      <c r="H141" s="1">
        <v>4000</v>
      </c>
      <c r="I141" s="1">
        <v>4000</v>
      </c>
      <c r="J141" s="1"/>
      <c r="K141" s="1"/>
      <c r="L141" s="1"/>
      <c r="M141" s="1"/>
      <c r="N141" s="1"/>
      <c r="O141" s="1"/>
      <c r="P141">
        <f t="shared" ca="1" si="4"/>
        <v>10000000</v>
      </c>
    </row>
    <row r="142" spans="1:16" x14ac:dyDescent="0.3">
      <c r="A142" s="26">
        <f t="shared" si="5"/>
        <v>46374</v>
      </c>
      <c r="B142" s="19"/>
      <c r="C142">
        <v>3250</v>
      </c>
      <c r="D142">
        <v>3250</v>
      </c>
      <c r="E142" s="1">
        <v>3250</v>
      </c>
      <c r="F142" s="1">
        <v>3250</v>
      </c>
      <c r="G142" s="1">
        <v>3250</v>
      </c>
      <c r="H142" s="1">
        <v>4000</v>
      </c>
      <c r="I142" s="1">
        <v>4000</v>
      </c>
      <c r="J142" s="1"/>
      <c r="K142" s="1"/>
      <c r="L142" s="1"/>
      <c r="M142" s="1"/>
      <c r="N142" s="1"/>
      <c r="O142" s="1"/>
      <c r="P142">
        <f t="shared" ca="1" si="4"/>
        <v>10000000</v>
      </c>
    </row>
    <row r="143" spans="1:16" x14ac:dyDescent="0.3">
      <c r="A143" s="26">
        <f t="shared" si="5"/>
        <v>46375</v>
      </c>
      <c r="B143" s="19"/>
      <c r="C143">
        <v>3250</v>
      </c>
      <c r="D143">
        <v>3250</v>
      </c>
      <c r="E143" s="1">
        <v>3250</v>
      </c>
      <c r="F143" s="1">
        <v>3250</v>
      </c>
      <c r="G143" s="1">
        <v>3250</v>
      </c>
      <c r="H143" s="1">
        <v>4000</v>
      </c>
      <c r="I143" s="1">
        <v>4000</v>
      </c>
      <c r="J143" s="1"/>
      <c r="K143" s="1"/>
      <c r="L143" s="1"/>
      <c r="M143" s="1"/>
      <c r="N143" s="1"/>
      <c r="O143" s="1"/>
      <c r="P143">
        <f t="shared" ca="1" si="4"/>
        <v>10000000</v>
      </c>
    </row>
    <row r="144" spans="1:16" x14ac:dyDescent="0.3">
      <c r="A144" s="26">
        <f t="shared" si="5"/>
        <v>46376</v>
      </c>
      <c r="B144" s="19"/>
      <c r="C144">
        <v>3250</v>
      </c>
      <c r="D144">
        <v>3250</v>
      </c>
      <c r="E144" s="1">
        <v>3250</v>
      </c>
      <c r="F144" s="1">
        <v>3250</v>
      </c>
      <c r="G144" s="1">
        <v>3250</v>
      </c>
      <c r="H144" s="1">
        <v>4000</v>
      </c>
      <c r="I144" s="1">
        <v>4000</v>
      </c>
      <c r="J144" s="1"/>
      <c r="K144" s="1"/>
      <c r="L144" s="1"/>
      <c r="M144" s="1"/>
      <c r="N144" s="1"/>
      <c r="O144" s="1"/>
      <c r="P144">
        <f t="shared" ca="1" si="4"/>
        <v>10000000</v>
      </c>
    </row>
    <row r="145" spans="1:16" x14ac:dyDescent="0.3">
      <c r="A145" s="26">
        <f t="shared" si="5"/>
        <v>46377</v>
      </c>
      <c r="B145" s="19"/>
      <c r="C145">
        <v>3250</v>
      </c>
      <c r="D145">
        <v>3250</v>
      </c>
      <c r="E145" s="1">
        <v>3250</v>
      </c>
      <c r="F145" s="1">
        <v>3250</v>
      </c>
      <c r="G145" s="1">
        <v>3250</v>
      </c>
      <c r="H145" s="1">
        <v>4000</v>
      </c>
      <c r="I145" s="1">
        <v>4000</v>
      </c>
      <c r="J145" s="1"/>
      <c r="K145" s="1"/>
      <c r="L145" s="1"/>
      <c r="M145" s="1"/>
      <c r="N145" s="1"/>
      <c r="O145" s="1"/>
      <c r="P145">
        <f t="shared" ca="1" si="4"/>
        <v>10000000</v>
      </c>
    </row>
    <row r="146" spans="1:16" x14ac:dyDescent="0.3">
      <c r="A146" s="26">
        <f t="shared" si="5"/>
        <v>46378</v>
      </c>
      <c r="B146" s="19"/>
      <c r="C146">
        <v>3250</v>
      </c>
      <c r="D146">
        <v>3250</v>
      </c>
      <c r="E146" s="1">
        <v>3250</v>
      </c>
      <c r="F146" s="1">
        <v>3250</v>
      </c>
      <c r="G146" s="1">
        <v>3250</v>
      </c>
      <c r="H146" s="1">
        <v>4000</v>
      </c>
      <c r="I146" s="1">
        <v>4000</v>
      </c>
      <c r="J146" s="1"/>
      <c r="K146" s="1"/>
      <c r="L146" s="1"/>
      <c r="M146" s="1"/>
      <c r="N146" s="1"/>
      <c r="O146" s="1"/>
      <c r="P146">
        <f t="shared" ca="1" si="4"/>
        <v>10000000</v>
      </c>
    </row>
    <row r="147" spans="1:16" x14ac:dyDescent="0.3">
      <c r="A147" s="26">
        <f t="shared" si="5"/>
        <v>46379</v>
      </c>
      <c r="B147" s="19"/>
      <c r="C147">
        <v>3250</v>
      </c>
      <c r="D147">
        <v>3250</v>
      </c>
      <c r="E147" s="1">
        <v>3250</v>
      </c>
      <c r="F147" s="1">
        <v>3250</v>
      </c>
      <c r="G147" s="1">
        <v>3250</v>
      </c>
      <c r="H147" s="1">
        <v>4000</v>
      </c>
      <c r="I147" s="1">
        <v>4000</v>
      </c>
      <c r="J147" s="1"/>
      <c r="K147" s="1"/>
      <c r="L147" s="1"/>
      <c r="M147" s="1"/>
      <c r="N147" s="1"/>
      <c r="O147" s="1"/>
      <c r="P147">
        <f t="shared" ca="1" si="4"/>
        <v>10000000</v>
      </c>
    </row>
    <row r="148" spans="1:16" x14ac:dyDescent="0.3">
      <c r="A148" s="26">
        <f t="shared" si="5"/>
        <v>46380</v>
      </c>
      <c r="B148" s="19"/>
      <c r="C148">
        <v>3250</v>
      </c>
      <c r="D148">
        <v>3250</v>
      </c>
      <c r="E148" s="1">
        <v>3250</v>
      </c>
      <c r="F148" s="1">
        <v>3250</v>
      </c>
      <c r="G148" s="1">
        <v>3250</v>
      </c>
      <c r="H148" s="1">
        <v>4000</v>
      </c>
      <c r="I148" s="1">
        <v>4000</v>
      </c>
      <c r="J148" s="1"/>
      <c r="K148" s="1"/>
      <c r="L148" s="1"/>
      <c r="M148" s="1"/>
      <c r="N148" s="1"/>
      <c r="O148" s="1"/>
      <c r="P148">
        <f t="shared" ca="1" si="4"/>
        <v>10000000</v>
      </c>
    </row>
    <row r="149" spans="1:16" x14ac:dyDescent="0.3">
      <c r="A149" s="26">
        <f t="shared" si="5"/>
        <v>46381</v>
      </c>
      <c r="B149" s="19"/>
      <c r="C149">
        <v>3250</v>
      </c>
      <c r="D149">
        <v>3250</v>
      </c>
      <c r="E149" s="1">
        <v>3250</v>
      </c>
      <c r="F149" s="1">
        <v>3250</v>
      </c>
      <c r="G149" s="1">
        <v>3250</v>
      </c>
      <c r="H149" s="1">
        <v>4000</v>
      </c>
      <c r="I149" s="1">
        <v>4000</v>
      </c>
      <c r="J149" s="1"/>
      <c r="K149" s="1"/>
      <c r="L149" s="1"/>
      <c r="M149" s="1"/>
      <c r="N149" s="1"/>
      <c r="O149" s="1"/>
      <c r="P149">
        <f t="shared" ca="1" si="4"/>
        <v>10000000</v>
      </c>
    </row>
    <row r="150" spans="1:16" x14ac:dyDescent="0.3">
      <c r="A150" s="26">
        <f t="shared" si="5"/>
        <v>46382</v>
      </c>
      <c r="B150" s="19"/>
      <c r="C150">
        <v>3250</v>
      </c>
      <c r="D150">
        <v>3250</v>
      </c>
      <c r="E150" s="1">
        <v>3250</v>
      </c>
      <c r="F150" s="1">
        <v>3250</v>
      </c>
      <c r="G150" s="1">
        <v>3250</v>
      </c>
      <c r="H150" s="1">
        <v>4000</v>
      </c>
      <c r="I150" s="1">
        <v>4000</v>
      </c>
      <c r="J150" s="1"/>
      <c r="K150" s="1"/>
      <c r="L150" s="1"/>
      <c r="M150" s="1"/>
      <c r="N150" s="1"/>
      <c r="O150" s="1"/>
      <c r="P150">
        <f t="shared" ca="1" si="4"/>
        <v>10000000</v>
      </c>
    </row>
    <row r="151" spans="1:16" x14ac:dyDescent="0.3">
      <c r="A151" s="26">
        <f t="shared" si="5"/>
        <v>46383</v>
      </c>
      <c r="B151" s="19"/>
      <c r="C151">
        <v>3250</v>
      </c>
      <c r="D151">
        <v>3250</v>
      </c>
      <c r="E151" s="1">
        <v>3250</v>
      </c>
      <c r="F151" s="1">
        <v>3250</v>
      </c>
      <c r="G151" s="1">
        <v>3250</v>
      </c>
      <c r="H151" s="1">
        <v>4000</v>
      </c>
      <c r="I151" s="1">
        <v>4000</v>
      </c>
      <c r="J151" s="1"/>
      <c r="K151" s="1"/>
      <c r="L151" s="1"/>
      <c r="M151" s="1"/>
      <c r="N151" s="1"/>
      <c r="O151" s="1"/>
      <c r="P151">
        <f t="shared" ca="1" si="4"/>
        <v>10000000</v>
      </c>
    </row>
    <row r="152" spans="1:16" x14ac:dyDescent="0.3">
      <c r="A152" s="26">
        <f t="shared" si="5"/>
        <v>46384</v>
      </c>
      <c r="B152" s="19"/>
      <c r="C152">
        <v>3250</v>
      </c>
      <c r="D152">
        <v>3250</v>
      </c>
      <c r="E152" s="1">
        <v>3250</v>
      </c>
      <c r="F152" s="1">
        <v>3250</v>
      </c>
      <c r="G152" s="1">
        <v>3250</v>
      </c>
      <c r="H152" s="1">
        <v>4000</v>
      </c>
      <c r="I152" s="1">
        <v>4000</v>
      </c>
      <c r="J152" s="1"/>
      <c r="K152" s="1"/>
      <c r="L152" s="1"/>
      <c r="M152" s="1"/>
      <c r="N152" s="1"/>
      <c r="O152" s="1"/>
      <c r="P152">
        <f t="shared" ca="1" si="4"/>
        <v>10000000</v>
      </c>
    </row>
    <row r="153" spans="1:16" x14ac:dyDescent="0.3">
      <c r="A153" s="26">
        <f t="shared" si="5"/>
        <v>46385</v>
      </c>
      <c r="B153" s="19"/>
      <c r="C153">
        <v>3250</v>
      </c>
      <c r="D153">
        <v>3250</v>
      </c>
      <c r="E153" s="1">
        <v>3250</v>
      </c>
      <c r="F153" s="1">
        <v>3250</v>
      </c>
      <c r="G153" s="1">
        <v>3250</v>
      </c>
      <c r="H153" s="1">
        <v>4000</v>
      </c>
      <c r="I153" s="1">
        <v>4000</v>
      </c>
      <c r="J153" s="1"/>
      <c r="K153" s="1"/>
      <c r="L153" s="1"/>
      <c r="M153" s="1"/>
      <c r="N153" s="1"/>
      <c r="O153" s="1"/>
      <c r="P153">
        <f t="shared" ca="1" si="4"/>
        <v>10000000</v>
      </c>
    </row>
    <row r="154" spans="1:16" x14ac:dyDescent="0.3">
      <c r="A154" s="26">
        <f t="shared" si="5"/>
        <v>46386</v>
      </c>
      <c r="B154" s="19"/>
      <c r="C154">
        <v>3250</v>
      </c>
      <c r="D154">
        <v>3250</v>
      </c>
      <c r="E154" s="1">
        <v>3250</v>
      </c>
      <c r="F154" s="1">
        <v>3250</v>
      </c>
      <c r="G154" s="1">
        <v>3250</v>
      </c>
      <c r="H154" s="1">
        <v>4000</v>
      </c>
      <c r="I154" s="1">
        <v>4000</v>
      </c>
      <c r="J154" s="1"/>
      <c r="K154" s="1"/>
      <c r="L154" s="1"/>
      <c r="M154" s="1"/>
      <c r="N154" s="1"/>
      <c r="O154" s="1"/>
      <c r="P154">
        <f t="shared" ca="1" si="4"/>
        <v>10000000</v>
      </c>
    </row>
    <row r="155" spans="1:16" x14ac:dyDescent="0.3">
      <c r="A155" s="44">
        <f t="shared" si="5"/>
        <v>46387</v>
      </c>
      <c r="B155" s="37"/>
      <c r="C155">
        <v>3250</v>
      </c>
      <c r="D155">
        <v>3250</v>
      </c>
      <c r="E155" s="23">
        <v>3250</v>
      </c>
      <c r="F155" s="23">
        <v>3250</v>
      </c>
      <c r="G155" s="23">
        <v>3250</v>
      </c>
      <c r="H155" s="1">
        <v>4000</v>
      </c>
      <c r="I155" s="1">
        <v>4000</v>
      </c>
      <c r="J155" s="1"/>
      <c r="K155" s="1"/>
      <c r="L155" s="1"/>
      <c r="M155" s="1"/>
      <c r="N155" s="1"/>
      <c r="O155" s="1"/>
      <c r="P155">
        <f t="shared" ca="1" si="4"/>
        <v>10000000</v>
      </c>
    </row>
    <row r="156" spans="1:16" x14ac:dyDescent="0.3">
      <c r="A156" s="26">
        <f t="shared" si="5"/>
        <v>46388</v>
      </c>
      <c r="B156" s="19"/>
      <c r="C156">
        <v>3250</v>
      </c>
      <c r="D156">
        <v>3250</v>
      </c>
      <c r="E156" s="1">
        <v>3250</v>
      </c>
      <c r="F156" s="1">
        <v>3250</v>
      </c>
      <c r="G156" s="1">
        <v>3250</v>
      </c>
      <c r="H156" s="1">
        <v>4000</v>
      </c>
      <c r="I156" s="1">
        <v>4000</v>
      </c>
      <c r="J156" s="22"/>
      <c r="K156" s="22"/>
      <c r="L156" s="22"/>
      <c r="M156" s="22"/>
      <c r="N156" s="22"/>
      <c r="O156" s="1"/>
      <c r="P156">
        <f t="shared" ca="1" si="4"/>
        <v>10000000</v>
      </c>
    </row>
    <row r="157" spans="1:16" x14ac:dyDescent="0.3">
      <c r="A157" s="26">
        <f t="shared" si="5"/>
        <v>46389</v>
      </c>
      <c r="B157" s="19"/>
      <c r="C157">
        <v>3250</v>
      </c>
      <c r="D157">
        <v>3250</v>
      </c>
      <c r="E157" s="1">
        <v>3250</v>
      </c>
      <c r="F157" s="1">
        <v>3250</v>
      </c>
      <c r="G157" s="1">
        <v>3250</v>
      </c>
      <c r="H157" s="1">
        <v>4000</v>
      </c>
      <c r="I157" s="1">
        <v>4000</v>
      </c>
      <c r="J157" s="1"/>
      <c r="K157" s="1"/>
      <c r="L157" s="1"/>
      <c r="M157" s="1"/>
      <c r="N157" s="1"/>
      <c r="O157" s="1"/>
      <c r="P157">
        <f t="shared" ca="1" si="4"/>
        <v>10000000</v>
      </c>
    </row>
    <row r="158" spans="1:16" x14ac:dyDescent="0.3">
      <c r="A158" s="26">
        <f t="shared" si="5"/>
        <v>46390</v>
      </c>
      <c r="B158" s="19"/>
      <c r="C158">
        <v>3250</v>
      </c>
      <c r="D158">
        <v>3250</v>
      </c>
      <c r="E158" s="1">
        <v>3250</v>
      </c>
      <c r="F158" s="1">
        <v>3250</v>
      </c>
      <c r="G158" s="1">
        <v>3250</v>
      </c>
      <c r="H158" s="1">
        <v>4000</v>
      </c>
      <c r="I158" s="1">
        <v>4000</v>
      </c>
      <c r="J158" s="1"/>
      <c r="K158" s="1"/>
      <c r="L158" s="1"/>
      <c r="M158" s="1"/>
      <c r="N158" s="1"/>
      <c r="O158" s="1"/>
      <c r="P158">
        <f t="shared" ca="1" si="4"/>
        <v>10000000</v>
      </c>
    </row>
    <row r="159" spans="1:16" x14ac:dyDescent="0.3">
      <c r="A159" s="26">
        <f t="shared" si="5"/>
        <v>46391</v>
      </c>
      <c r="B159" s="19"/>
      <c r="C159">
        <v>3250</v>
      </c>
      <c r="D159">
        <v>3250</v>
      </c>
      <c r="E159" s="1">
        <v>3250</v>
      </c>
      <c r="F159" s="1">
        <v>3250</v>
      </c>
      <c r="G159" s="1">
        <v>3250</v>
      </c>
      <c r="H159" s="1">
        <v>4000</v>
      </c>
      <c r="I159" s="1">
        <v>4000</v>
      </c>
      <c r="J159" s="1"/>
      <c r="K159" s="1"/>
      <c r="L159" s="1"/>
      <c r="M159" s="1"/>
      <c r="N159" s="1"/>
      <c r="O159" s="1"/>
      <c r="P159">
        <f t="shared" ca="1" si="4"/>
        <v>10000000</v>
      </c>
    </row>
    <row r="160" spans="1:16" x14ac:dyDescent="0.3">
      <c r="A160" s="26">
        <f t="shared" si="5"/>
        <v>46392</v>
      </c>
      <c r="B160" s="19"/>
      <c r="C160">
        <v>3250</v>
      </c>
      <c r="D160">
        <v>3250</v>
      </c>
      <c r="E160" s="1">
        <v>3250</v>
      </c>
      <c r="F160" s="1">
        <v>3250</v>
      </c>
      <c r="G160" s="1">
        <v>3250</v>
      </c>
      <c r="H160" s="1">
        <v>4000</v>
      </c>
      <c r="I160" s="1">
        <v>4000</v>
      </c>
      <c r="J160" s="1"/>
      <c r="K160" s="1"/>
      <c r="L160" s="1"/>
      <c r="M160" s="1"/>
      <c r="N160" s="1"/>
      <c r="O160" s="1"/>
      <c r="P160">
        <f t="shared" ca="1" si="4"/>
        <v>10000000</v>
      </c>
    </row>
    <row r="161" spans="1:16" x14ac:dyDescent="0.3">
      <c r="A161" s="26">
        <f t="shared" si="5"/>
        <v>46393</v>
      </c>
      <c r="B161" s="19"/>
      <c r="C161">
        <v>3250</v>
      </c>
      <c r="D161">
        <v>3250</v>
      </c>
      <c r="E161" s="1">
        <v>3250</v>
      </c>
      <c r="F161" s="1">
        <v>3250</v>
      </c>
      <c r="G161" s="1">
        <v>3250</v>
      </c>
      <c r="H161" s="1">
        <v>4000</v>
      </c>
      <c r="I161" s="1">
        <v>4000</v>
      </c>
      <c r="J161" s="1"/>
      <c r="K161" s="1"/>
      <c r="L161" s="1"/>
      <c r="M161" s="1"/>
      <c r="N161" s="1"/>
      <c r="O161" s="1"/>
      <c r="P161">
        <f t="shared" ca="1" si="4"/>
        <v>10000000</v>
      </c>
    </row>
    <row r="162" spans="1:16" x14ac:dyDescent="0.3">
      <c r="A162" s="26">
        <f t="shared" si="5"/>
        <v>46394</v>
      </c>
      <c r="B162" s="19"/>
      <c r="C162">
        <v>3250</v>
      </c>
      <c r="D162">
        <v>3250</v>
      </c>
      <c r="E162" s="1">
        <v>3250</v>
      </c>
      <c r="F162" s="1">
        <v>3250</v>
      </c>
      <c r="G162" s="1">
        <v>3250</v>
      </c>
      <c r="H162" s="1">
        <v>4000</v>
      </c>
      <c r="I162" s="1">
        <v>4000</v>
      </c>
      <c r="J162" s="1"/>
      <c r="K162" s="1"/>
      <c r="L162" s="1"/>
      <c r="M162" s="1"/>
      <c r="N162" s="1"/>
      <c r="O162" s="1"/>
      <c r="P162">
        <f t="shared" ca="1" si="4"/>
        <v>10000000</v>
      </c>
    </row>
    <row r="163" spans="1:16" x14ac:dyDescent="0.3">
      <c r="A163" s="26">
        <f t="shared" si="5"/>
        <v>46395</v>
      </c>
      <c r="B163" s="19"/>
      <c r="C163">
        <v>3250</v>
      </c>
      <c r="D163">
        <v>3250</v>
      </c>
      <c r="E163" s="1">
        <v>3250</v>
      </c>
      <c r="F163" s="1">
        <v>3250</v>
      </c>
      <c r="G163" s="1">
        <v>3250</v>
      </c>
      <c r="H163" s="1">
        <v>4000</v>
      </c>
      <c r="I163" s="1">
        <v>4000</v>
      </c>
      <c r="J163" s="1"/>
      <c r="K163" s="1"/>
      <c r="L163" s="1"/>
      <c r="M163" s="1"/>
      <c r="N163" s="1"/>
      <c r="O163" s="1"/>
      <c r="P163">
        <f t="shared" ca="1" si="4"/>
        <v>10000000</v>
      </c>
    </row>
    <row r="164" spans="1:16" x14ac:dyDescent="0.3">
      <c r="A164" s="26">
        <f t="shared" si="5"/>
        <v>46396</v>
      </c>
      <c r="B164" s="19"/>
      <c r="C164">
        <v>3250</v>
      </c>
      <c r="D164">
        <v>3250</v>
      </c>
      <c r="E164" s="1">
        <v>3250</v>
      </c>
      <c r="F164" s="1">
        <v>3250</v>
      </c>
      <c r="G164" s="1">
        <v>3250</v>
      </c>
      <c r="H164" s="1">
        <v>4000</v>
      </c>
      <c r="I164" s="1">
        <v>4000</v>
      </c>
      <c r="J164" s="1"/>
      <c r="K164" s="1"/>
      <c r="L164" s="1"/>
      <c r="M164" s="1"/>
      <c r="N164" s="1"/>
      <c r="O164" s="1"/>
      <c r="P164">
        <f t="shared" ca="1" si="4"/>
        <v>10000000</v>
      </c>
    </row>
    <row r="165" spans="1:16" x14ac:dyDescent="0.3">
      <c r="A165" s="26">
        <f t="shared" si="5"/>
        <v>46397</v>
      </c>
      <c r="B165" s="19"/>
      <c r="C165">
        <v>3250</v>
      </c>
      <c r="D165">
        <v>3250</v>
      </c>
      <c r="E165" s="1">
        <v>3250</v>
      </c>
      <c r="F165" s="1">
        <v>3250</v>
      </c>
      <c r="G165" s="1">
        <v>3250</v>
      </c>
      <c r="H165" s="1">
        <v>4000</v>
      </c>
      <c r="I165" s="1">
        <v>4000</v>
      </c>
      <c r="J165" s="1"/>
      <c r="K165" s="1"/>
      <c r="L165" s="1"/>
      <c r="M165" s="1"/>
      <c r="N165" s="1"/>
      <c r="O165" s="1"/>
      <c r="P165">
        <f t="shared" ca="1" si="4"/>
        <v>10000000</v>
      </c>
    </row>
    <row r="166" spans="1:16" x14ac:dyDescent="0.3">
      <c r="A166" s="26">
        <f t="shared" si="5"/>
        <v>46398</v>
      </c>
      <c r="B166" s="19"/>
      <c r="C166">
        <v>3250</v>
      </c>
      <c r="D166">
        <v>3250</v>
      </c>
      <c r="E166" s="1">
        <v>3250</v>
      </c>
      <c r="F166" s="1">
        <v>3250</v>
      </c>
      <c r="G166" s="1">
        <v>3250</v>
      </c>
      <c r="H166" s="1">
        <v>4000</v>
      </c>
      <c r="I166" s="1">
        <v>4000</v>
      </c>
      <c r="J166" s="1"/>
      <c r="K166" s="1"/>
      <c r="L166" s="1"/>
      <c r="M166" s="1"/>
      <c r="N166" s="1"/>
      <c r="O166" s="1"/>
      <c r="P166">
        <f t="shared" ca="1" si="4"/>
        <v>10000000</v>
      </c>
    </row>
    <row r="167" spans="1:16" x14ac:dyDescent="0.3">
      <c r="A167" s="26">
        <f t="shared" si="5"/>
        <v>46399</v>
      </c>
      <c r="B167" s="19"/>
      <c r="C167">
        <v>3250</v>
      </c>
      <c r="D167">
        <v>3250</v>
      </c>
      <c r="E167" s="1">
        <v>3250</v>
      </c>
      <c r="F167" s="1">
        <v>3250</v>
      </c>
      <c r="G167" s="1">
        <v>3250</v>
      </c>
      <c r="H167" s="1">
        <v>4000</v>
      </c>
      <c r="I167" s="1">
        <v>4000</v>
      </c>
      <c r="J167" s="1"/>
      <c r="K167" s="1"/>
      <c r="L167" s="1"/>
      <c r="M167" s="1"/>
      <c r="N167" s="1"/>
      <c r="O167" s="1"/>
      <c r="P167">
        <f t="shared" ca="1" si="4"/>
        <v>10000000</v>
      </c>
    </row>
    <row r="168" spans="1:16" x14ac:dyDescent="0.3">
      <c r="A168" s="26">
        <f t="shared" si="5"/>
        <v>46400</v>
      </c>
      <c r="B168" s="19"/>
      <c r="C168">
        <v>3250</v>
      </c>
      <c r="D168">
        <v>3250</v>
      </c>
      <c r="E168" s="1">
        <v>3250</v>
      </c>
      <c r="F168" s="1">
        <v>3250</v>
      </c>
      <c r="G168" s="1">
        <v>3250</v>
      </c>
      <c r="H168" s="1">
        <v>4000</v>
      </c>
      <c r="I168" s="1">
        <v>4000</v>
      </c>
      <c r="J168" s="1"/>
      <c r="K168" s="1"/>
      <c r="L168" s="1"/>
      <c r="M168" s="1"/>
      <c r="N168" s="1"/>
      <c r="O168" s="1"/>
      <c r="P168">
        <f t="shared" ca="1" si="4"/>
        <v>10000000</v>
      </c>
    </row>
    <row r="169" spans="1:16" x14ac:dyDescent="0.3">
      <c r="A169" s="26">
        <f t="shared" si="5"/>
        <v>46401</v>
      </c>
      <c r="B169" s="19"/>
      <c r="C169">
        <v>3250</v>
      </c>
      <c r="D169">
        <v>3250</v>
      </c>
      <c r="E169" s="1">
        <v>3250</v>
      </c>
      <c r="F169" s="1">
        <v>3250</v>
      </c>
      <c r="G169" s="1">
        <v>3250</v>
      </c>
      <c r="H169" s="1">
        <v>4000</v>
      </c>
      <c r="I169" s="1">
        <v>4000</v>
      </c>
      <c r="J169" s="1"/>
      <c r="K169" s="1"/>
      <c r="L169" s="1"/>
      <c r="M169" s="1"/>
      <c r="N169" s="1"/>
      <c r="O169" s="1"/>
      <c r="P169">
        <f t="shared" ca="1" si="4"/>
        <v>10000000</v>
      </c>
    </row>
    <row r="170" spans="1:16" x14ac:dyDescent="0.3">
      <c r="A170" s="26">
        <f t="shared" si="5"/>
        <v>46402</v>
      </c>
      <c r="B170" s="19"/>
      <c r="C170">
        <v>3250</v>
      </c>
      <c r="D170">
        <v>3250</v>
      </c>
      <c r="E170" s="1">
        <v>3250</v>
      </c>
      <c r="F170" s="1">
        <v>3250</v>
      </c>
      <c r="G170" s="1">
        <v>3250</v>
      </c>
      <c r="H170" s="1">
        <v>4000</v>
      </c>
      <c r="I170" s="1">
        <v>4000</v>
      </c>
      <c r="J170" s="1"/>
      <c r="K170" s="1"/>
      <c r="L170" s="1"/>
      <c r="M170" s="1"/>
      <c r="N170" s="1"/>
      <c r="O170" s="1"/>
      <c r="P170">
        <f t="shared" ca="1" si="4"/>
        <v>10000000</v>
      </c>
    </row>
    <row r="171" spans="1:16" x14ac:dyDescent="0.3">
      <c r="A171" s="26">
        <f t="shared" si="5"/>
        <v>46403</v>
      </c>
      <c r="B171" s="19"/>
      <c r="C171">
        <v>3250</v>
      </c>
      <c r="D171">
        <v>3250</v>
      </c>
      <c r="E171" s="1">
        <v>3250</v>
      </c>
      <c r="F171" s="1">
        <v>3250</v>
      </c>
      <c r="G171" s="1">
        <v>3250</v>
      </c>
      <c r="H171" s="1">
        <v>4000</v>
      </c>
      <c r="I171" s="1">
        <v>4000</v>
      </c>
      <c r="J171" s="1"/>
      <c r="K171" s="1"/>
      <c r="L171" s="1"/>
      <c r="M171" s="1"/>
      <c r="N171" s="1"/>
      <c r="O171" s="1"/>
      <c r="P171">
        <f t="shared" ca="1" si="4"/>
        <v>10000000</v>
      </c>
    </row>
    <row r="172" spans="1:16" x14ac:dyDescent="0.3">
      <c r="A172" s="26">
        <f t="shared" si="5"/>
        <v>46404</v>
      </c>
      <c r="B172" s="19"/>
      <c r="C172">
        <v>3250</v>
      </c>
      <c r="D172">
        <v>3250</v>
      </c>
      <c r="E172" s="1">
        <v>3250</v>
      </c>
      <c r="F172" s="1">
        <v>3250</v>
      </c>
      <c r="G172" s="1">
        <v>3250</v>
      </c>
      <c r="H172" s="1">
        <v>4000</v>
      </c>
      <c r="I172" s="1">
        <v>4000</v>
      </c>
      <c r="J172" s="1"/>
      <c r="K172" s="1"/>
      <c r="L172" s="1"/>
      <c r="M172" s="1"/>
      <c r="N172" s="1"/>
      <c r="O172" s="1"/>
      <c r="P172">
        <f t="shared" ca="1" si="4"/>
        <v>10000000</v>
      </c>
    </row>
    <row r="173" spans="1:16" x14ac:dyDescent="0.3">
      <c r="A173" s="26">
        <f t="shared" si="5"/>
        <v>46405</v>
      </c>
      <c r="B173" s="19"/>
      <c r="C173">
        <v>3250</v>
      </c>
      <c r="D173">
        <v>3250</v>
      </c>
      <c r="E173" s="1">
        <v>3250</v>
      </c>
      <c r="F173" s="1">
        <v>3250</v>
      </c>
      <c r="G173" s="1">
        <v>3250</v>
      </c>
      <c r="H173" s="1">
        <v>4000</v>
      </c>
      <c r="I173" s="1">
        <v>4000</v>
      </c>
      <c r="J173" s="1"/>
      <c r="K173" s="1"/>
      <c r="L173" s="1"/>
      <c r="M173" s="1"/>
      <c r="N173" s="1"/>
      <c r="O173" s="1"/>
      <c r="P173">
        <f t="shared" ca="1" si="4"/>
        <v>10000000</v>
      </c>
    </row>
    <row r="174" spans="1:16" x14ac:dyDescent="0.3">
      <c r="A174" s="26">
        <f t="shared" si="5"/>
        <v>46406</v>
      </c>
      <c r="B174" s="19"/>
      <c r="C174">
        <v>3250</v>
      </c>
      <c r="D174">
        <v>3250</v>
      </c>
      <c r="E174" s="1">
        <v>3250</v>
      </c>
      <c r="F174" s="1">
        <v>3250</v>
      </c>
      <c r="G174" s="1">
        <v>3250</v>
      </c>
      <c r="H174" s="1">
        <v>4000</v>
      </c>
      <c r="I174" s="1">
        <v>4000</v>
      </c>
      <c r="J174" s="1"/>
      <c r="K174" s="1"/>
      <c r="L174" s="1"/>
      <c r="M174" s="1"/>
      <c r="N174" s="1"/>
      <c r="O174" s="1"/>
      <c r="P174">
        <f t="shared" ca="1" si="4"/>
        <v>10000000</v>
      </c>
    </row>
    <row r="175" spans="1:16" x14ac:dyDescent="0.3">
      <c r="A175" s="26">
        <f t="shared" si="5"/>
        <v>46407</v>
      </c>
      <c r="B175" s="19"/>
      <c r="C175">
        <v>3250</v>
      </c>
      <c r="D175">
        <v>3250</v>
      </c>
      <c r="E175" s="1">
        <v>3250</v>
      </c>
      <c r="F175" s="1">
        <v>3250</v>
      </c>
      <c r="G175" s="1">
        <v>3250</v>
      </c>
      <c r="H175" s="1">
        <v>4000</v>
      </c>
      <c r="I175" s="1">
        <v>4000</v>
      </c>
      <c r="J175" s="1"/>
      <c r="K175" s="1"/>
      <c r="L175" s="1"/>
      <c r="M175" s="1"/>
      <c r="N175" s="1"/>
      <c r="O175" s="1"/>
      <c r="P175">
        <f t="shared" ca="1" si="4"/>
        <v>10000000</v>
      </c>
    </row>
    <row r="176" spans="1:16" x14ac:dyDescent="0.3">
      <c r="A176" s="26">
        <f t="shared" si="5"/>
        <v>46408</v>
      </c>
      <c r="B176" s="19"/>
      <c r="C176">
        <v>3250</v>
      </c>
      <c r="D176">
        <v>3250</v>
      </c>
      <c r="E176" s="1">
        <v>3250</v>
      </c>
      <c r="F176" s="1">
        <v>3250</v>
      </c>
      <c r="G176" s="1">
        <v>3250</v>
      </c>
      <c r="H176" s="1">
        <v>4000</v>
      </c>
      <c r="I176" s="1">
        <v>4000</v>
      </c>
      <c r="J176" s="1"/>
      <c r="K176" s="1"/>
      <c r="L176" s="1"/>
      <c r="M176" s="1"/>
      <c r="N176" s="1"/>
      <c r="O176" s="1"/>
      <c r="P176">
        <f t="shared" ca="1" si="4"/>
        <v>10000000</v>
      </c>
    </row>
    <row r="177" spans="1:16" x14ac:dyDescent="0.3">
      <c r="A177" s="26">
        <f t="shared" si="5"/>
        <v>46409</v>
      </c>
      <c r="B177" s="19"/>
      <c r="C177">
        <v>3250</v>
      </c>
      <c r="D177">
        <v>3250</v>
      </c>
      <c r="E177" s="1">
        <v>3250</v>
      </c>
      <c r="F177" s="1">
        <v>3250</v>
      </c>
      <c r="G177" s="1">
        <v>3250</v>
      </c>
      <c r="H177" s="1">
        <v>4000</v>
      </c>
      <c r="I177" s="1">
        <v>4000</v>
      </c>
      <c r="J177" s="1"/>
      <c r="K177" s="1"/>
      <c r="L177" s="1"/>
      <c r="M177" s="1"/>
      <c r="N177" s="1"/>
      <c r="O177" s="1"/>
      <c r="P177">
        <f t="shared" ca="1" si="4"/>
        <v>10000000</v>
      </c>
    </row>
    <row r="178" spans="1:16" x14ac:dyDescent="0.3">
      <c r="A178" s="26">
        <f t="shared" si="5"/>
        <v>46410</v>
      </c>
      <c r="B178" s="19"/>
      <c r="C178">
        <v>3250</v>
      </c>
      <c r="D178">
        <v>3250</v>
      </c>
      <c r="E178" s="1">
        <v>3250</v>
      </c>
      <c r="F178" s="1">
        <v>3250</v>
      </c>
      <c r="G178" s="1">
        <v>3250</v>
      </c>
      <c r="H178" s="1">
        <v>4000</v>
      </c>
      <c r="I178" s="1">
        <v>4000</v>
      </c>
      <c r="J178" s="1"/>
      <c r="K178" s="1"/>
      <c r="L178" s="1"/>
      <c r="M178" s="1"/>
      <c r="N178" s="1"/>
      <c r="O178" s="1"/>
      <c r="P178">
        <f t="shared" ca="1" si="4"/>
        <v>10000000</v>
      </c>
    </row>
    <row r="179" spans="1:16" x14ac:dyDescent="0.3">
      <c r="A179" s="26">
        <f t="shared" si="5"/>
        <v>46411</v>
      </c>
      <c r="B179" s="19"/>
      <c r="C179">
        <v>3250</v>
      </c>
      <c r="D179">
        <v>3250</v>
      </c>
      <c r="E179" s="1">
        <v>3250</v>
      </c>
      <c r="F179" s="1">
        <v>3250</v>
      </c>
      <c r="G179" s="1">
        <v>3250</v>
      </c>
      <c r="H179" s="1">
        <v>4000</v>
      </c>
      <c r="I179" s="1">
        <v>4000</v>
      </c>
      <c r="J179" s="1"/>
      <c r="K179" s="1"/>
      <c r="L179" s="1"/>
      <c r="M179" s="1"/>
      <c r="N179" s="1"/>
      <c r="O179" s="1"/>
      <c r="P179">
        <f t="shared" ca="1" si="4"/>
        <v>10000000</v>
      </c>
    </row>
    <row r="180" spans="1:16" x14ac:dyDescent="0.3">
      <c r="A180" s="26">
        <f t="shared" si="5"/>
        <v>46412</v>
      </c>
      <c r="B180" s="19"/>
      <c r="C180">
        <v>3250</v>
      </c>
      <c r="D180">
        <v>3250</v>
      </c>
      <c r="E180" s="1">
        <v>3250</v>
      </c>
      <c r="F180" s="1">
        <v>3250</v>
      </c>
      <c r="G180" s="1">
        <v>3250</v>
      </c>
      <c r="H180" s="1">
        <v>4000</v>
      </c>
      <c r="I180" s="1">
        <v>4000</v>
      </c>
      <c r="J180" s="1"/>
      <c r="K180" s="1"/>
      <c r="L180" s="1"/>
      <c r="M180" s="1"/>
      <c r="N180" s="1"/>
      <c r="O180" s="1"/>
      <c r="P180">
        <f t="shared" ca="1" si="4"/>
        <v>10000000</v>
      </c>
    </row>
    <row r="181" spans="1:16" x14ac:dyDescent="0.3">
      <c r="A181" s="26">
        <f t="shared" si="5"/>
        <v>46413</v>
      </c>
      <c r="B181" s="19"/>
      <c r="C181">
        <v>3250</v>
      </c>
      <c r="D181">
        <v>3250</v>
      </c>
      <c r="E181" s="1">
        <v>3250</v>
      </c>
      <c r="F181" s="1">
        <v>3250</v>
      </c>
      <c r="G181" s="1">
        <v>3250</v>
      </c>
      <c r="H181" s="1">
        <v>4000</v>
      </c>
      <c r="I181" s="1">
        <v>4000</v>
      </c>
      <c r="J181" s="1"/>
      <c r="K181" s="1"/>
      <c r="L181" s="1"/>
      <c r="M181" s="1"/>
      <c r="N181" s="1"/>
      <c r="O181" s="1"/>
      <c r="P181">
        <f t="shared" ca="1" si="4"/>
        <v>10000000</v>
      </c>
    </row>
    <row r="182" spans="1:16" x14ac:dyDescent="0.3">
      <c r="A182" s="26">
        <f t="shared" si="5"/>
        <v>46414</v>
      </c>
      <c r="B182" s="19"/>
      <c r="C182">
        <v>3250</v>
      </c>
      <c r="D182">
        <v>3250</v>
      </c>
      <c r="E182" s="1">
        <v>3250</v>
      </c>
      <c r="F182" s="1">
        <v>3250</v>
      </c>
      <c r="G182" s="1">
        <v>3250</v>
      </c>
      <c r="H182" s="1">
        <v>4000</v>
      </c>
      <c r="I182" s="1">
        <v>4000</v>
      </c>
      <c r="J182" s="1"/>
      <c r="K182" s="1"/>
      <c r="L182" s="1"/>
      <c r="M182" s="1"/>
      <c r="N182" s="1"/>
      <c r="O182" s="1"/>
      <c r="P182">
        <f t="shared" ca="1" si="4"/>
        <v>10000000</v>
      </c>
    </row>
    <row r="183" spans="1:16" x14ac:dyDescent="0.3">
      <c r="A183" s="26">
        <f t="shared" si="5"/>
        <v>46415</v>
      </c>
      <c r="B183" s="19"/>
      <c r="C183">
        <v>3250</v>
      </c>
      <c r="D183">
        <v>3250</v>
      </c>
      <c r="E183" s="1">
        <v>3250</v>
      </c>
      <c r="F183" s="1">
        <v>3250</v>
      </c>
      <c r="G183" s="1">
        <v>3250</v>
      </c>
      <c r="H183" s="1">
        <v>4000</v>
      </c>
      <c r="I183" s="1">
        <v>4000</v>
      </c>
      <c r="J183" s="1"/>
      <c r="K183" s="1"/>
      <c r="L183" s="1"/>
      <c r="M183" s="1"/>
      <c r="N183" s="1"/>
      <c r="O183" s="1"/>
      <c r="P183">
        <f t="shared" ca="1" si="4"/>
        <v>10000000</v>
      </c>
    </row>
    <row r="184" spans="1:16" x14ac:dyDescent="0.3">
      <c r="A184" s="26">
        <f t="shared" si="5"/>
        <v>46416</v>
      </c>
      <c r="B184" s="19"/>
      <c r="C184">
        <v>3250</v>
      </c>
      <c r="D184">
        <v>3250</v>
      </c>
      <c r="E184" s="1">
        <v>3250</v>
      </c>
      <c r="F184" s="1">
        <v>3250</v>
      </c>
      <c r="G184" s="1">
        <v>3250</v>
      </c>
      <c r="H184" s="1">
        <v>4000</v>
      </c>
      <c r="I184" s="1">
        <v>4000</v>
      </c>
      <c r="J184" s="1"/>
      <c r="K184" s="1"/>
      <c r="L184" s="1"/>
      <c r="M184" s="1"/>
      <c r="N184" s="1"/>
      <c r="O184" s="1"/>
      <c r="P184">
        <f t="shared" ca="1" si="4"/>
        <v>10000000</v>
      </c>
    </row>
    <row r="185" spans="1:16" x14ac:dyDescent="0.3">
      <c r="A185" s="26">
        <f t="shared" si="5"/>
        <v>46417</v>
      </c>
      <c r="B185" s="19"/>
      <c r="C185">
        <v>3250</v>
      </c>
      <c r="D185">
        <v>3250</v>
      </c>
      <c r="E185" s="1">
        <v>3250</v>
      </c>
      <c r="F185" s="1">
        <v>3250</v>
      </c>
      <c r="G185" s="1">
        <v>3250</v>
      </c>
      <c r="H185" s="1">
        <v>4000</v>
      </c>
      <c r="I185" s="1">
        <v>4000</v>
      </c>
      <c r="J185" s="1"/>
      <c r="K185" s="1"/>
      <c r="L185" s="1"/>
      <c r="M185" s="1"/>
      <c r="N185" s="1"/>
      <c r="O185" s="1"/>
      <c r="P185">
        <f t="shared" ca="1" si="4"/>
        <v>10000000</v>
      </c>
    </row>
    <row r="186" spans="1:16" x14ac:dyDescent="0.3">
      <c r="A186" s="44">
        <f t="shared" si="5"/>
        <v>46418</v>
      </c>
      <c r="B186" s="37"/>
      <c r="C186">
        <v>3250</v>
      </c>
      <c r="D186">
        <v>3250</v>
      </c>
      <c r="E186" s="23">
        <v>3250</v>
      </c>
      <c r="F186" s="23">
        <v>3250</v>
      </c>
      <c r="G186" s="23">
        <v>3250</v>
      </c>
      <c r="H186" s="1">
        <v>4000</v>
      </c>
      <c r="I186" s="1">
        <v>4000</v>
      </c>
      <c r="J186" s="23"/>
      <c r="K186" s="23"/>
      <c r="L186" s="23"/>
      <c r="M186" s="23"/>
      <c r="N186" s="23"/>
      <c r="O186" s="1"/>
      <c r="P186">
        <f t="shared" ca="1" si="4"/>
        <v>10000000</v>
      </c>
    </row>
    <row r="187" spans="1:16" x14ac:dyDescent="0.3">
      <c r="A187" s="26">
        <f t="shared" si="5"/>
        <v>46419</v>
      </c>
      <c r="B187" s="19"/>
      <c r="C187">
        <v>3500</v>
      </c>
      <c r="D187">
        <v>3250</v>
      </c>
      <c r="E187" s="1">
        <v>3500</v>
      </c>
      <c r="F187" s="1">
        <v>3250</v>
      </c>
      <c r="G187" s="1">
        <v>3250</v>
      </c>
      <c r="H187" s="1">
        <v>4000</v>
      </c>
      <c r="I187" s="1">
        <v>4000</v>
      </c>
      <c r="J187" s="1"/>
      <c r="K187" s="1"/>
      <c r="L187" s="1"/>
      <c r="M187" s="1"/>
      <c r="N187" s="1"/>
      <c r="O187" s="1"/>
      <c r="P187">
        <f t="shared" ca="1" si="4"/>
        <v>10000000</v>
      </c>
    </row>
    <row r="188" spans="1:16" x14ac:dyDescent="0.3">
      <c r="A188" s="26">
        <f t="shared" si="5"/>
        <v>46420</v>
      </c>
      <c r="B188" s="19"/>
      <c r="C188">
        <v>3500</v>
      </c>
      <c r="D188">
        <v>3250</v>
      </c>
      <c r="E188" s="1">
        <v>3500</v>
      </c>
      <c r="F188" s="1">
        <v>3250</v>
      </c>
      <c r="G188" s="1">
        <v>3250</v>
      </c>
      <c r="H188" s="1">
        <v>4000</v>
      </c>
      <c r="I188" s="1">
        <v>4000</v>
      </c>
      <c r="J188" s="1"/>
      <c r="K188" s="1"/>
      <c r="L188" s="1"/>
      <c r="M188" s="1"/>
      <c r="N188" s="1"/>
      <c r="O188" s="1"/>
      <c r="P188">
        <f t="shared" ca="1" si="4"/>
        <v>10000000</v>
      </c>
    </row>
    <row r="189" spans="1:16" x14ac:dyDescent="0.3">
      <c r="A189" s="26">
        <f t="shared" si="5"/>
        <v>46421</v>
      </c>
      <c r="B189" s="19"/>
      <c r="C189">
        <v>3500</v>
      </c>
      <c r="D189">
        <v>3250</v>
      </c>
      <c r="E189" s="1">
        <v>3500</v>
      </c>
      <c r="F189" s="1">
        <v>3250</v>
      </c>
      <c r="G189" s="1">
        <v>3250</v>
      </c>
      <c r="H189" s="1">
        <v>4000</v>
      </c>
      <c r="I189" s="1">
        <v>4000</v>
      </c>
      <c r="J189" s="1"/>
      <c r="K189" s="1"/>
      <c r="L189" s="1"/>
      <c r="M189" s="1"/>
      <c r="N189" s="1"/>
      <c r="O189" s="1"/>
      <c r="P189">
        <f t="shared" ca="1" si="4"/>
        <v>10000000</v>
      </c>
    </row>
    <row r="190" spans="1:16" x14ac:dyDescent="0.3">
      <c r="A190" s="26">
        <f t="shared" si="5"/>
        <v>46422</v>
      </c>
      <c r="B190" s="19"/>
      <c r="C190">
        <v>3500</v>
      </c>
      <c r="D190">
        <v>3250</v>
      </c>
      <c r="E190" s="1">
        <v>3500</v>
      </c>
      <c r="F190" s="1">
        <v>3250</v>
      </c>
      <c r="G190" s="1">
        <v>3250</v>
      </c>
      <c r="H190" s="1">
        <v>4000</v>
      </c>
      <c r="I190" s="1">
        <v>4000</v>
      </c>
      <c r="J190" s="1"/>
      <c r="K190" s="1"/>
      <c r="L190" s="1"/>
      <c r="M190" s="1"/>
      <c r="N190" s="1"/>
      <c r="O190" s="1"/>
      <c r="P190">
        <f t="shared" ca="1" si="4"/>
        <v>10000000</v>
      </c>
    </row>
    <row r="191" spans="1:16" x14ac:dyDescent="0.3">
      <c r="A191" s="26">
        <f t="shared" si="5"/>
        <v>46423</v>
      </c>
      <c r="B191" s="19"/>
      <c r="C191">
        <v>3500</v>
      </c>
      <c r="D191">
        <v>3250</v>
      </c>
      <c r="E191" s="1">
        <v>3500</v>
      </c>
      <c r="F191" s="1">
        <v>3250</v>
      </c>
      <c r="G191" s="1">
        <v>3250</v>
      </c>
      <c r="H191" s="1">
        <v>4000</v>
      </c>
      <c r="I191" s="1">
        <v>4000</v>
      </c>
      <c r="J191" s="1"/>
      <c r="K191" s="1"/>
      <c r="L191" s="1"/>
      <c r="M191" s="1"/>
      <c r="N191" s="1"/>
      <c r="O191" s="1"/>
      <c r="P191">
        <f t="shared" ca="1" si="4"/>
        <v>10000000</v>
      </c>
    </row>
    <row r="192" spans="1:16" x14ac:dyDescent="0.3">
      <c r="A192" s="26">
        <f t="shared" si="5"/>
        <v>46424</v>
      </c>
      <c r="B192" s="19"/>
      <c r="C192">
        <v>3500</v>
      </c>
      <c r="D192">
        <v>3250</v>
      </c>
      <c r="E192" s="1">
        <v>3500</v>
      </c>
      <c r="F192" s="1">
        <v>3250</v>
      </c>
      <c r="G192" s="1">
        <v>3250</v>
      </c>
      <c r="H192" s="1">
        <v>4000</v>
      </c>
      <c r="I192" s="1">
        <v>4000</v>
      </c>
      <c r="J192" s="1"/>
      <c r="K192" s="1"/>
      <c r="L192" s="1"/>
      <c r="M192" s="1"/>
      <c r="N192" s="1"/>
      <c r="O192" s="1"/>
      <c r="P192">
        <f t="shared" ca="1" si="4"/>
        <v>10000000</v>
      </c>
    </row>
    <row r="193" spans="1:16" x14ac:dyDescent="0.3">
      <c r="A193" s="26">
        <f t="shared" si="5"/>
        <v>46425</v>
      </c>
      <c r="B193" s="19"/>
      <c r="C193">
        <v>3500</v>
      </c>
      <c r="D193">
        <v>3250</v>
      </c>
      <c r="E193" s="1">
        <v>3500</v>
      </c>
      <c r="F193" s="1">
        <v>3250</v>
      </c>
      <c r="G193" s="1">
        <v>3250</v>
      </c>
      <c r="H193" s="1">
        <v>4000</v>
      </c>
      <c r="I193" s="1">
        <v>4000</v>
      </c>
      <c r="J193" s="1"/>
      <c r="K193" s="1"/>
      <c r="L193" s="1"/>
      <c r="M193" s="1"/>
      <c r="N193" s="1"/>
      <c r="O193" s="1"/>
      <c r="P193">
        <f t="shared" ca="1" si="4"/>
        <v>10000000</v>
      </c>
    </row>
    <row r="194" spans="1:16" x14ac:dyDescent="0.3">
      <c r="A194" s="26">
        <f t="shared" si="5"/>
        <v>46426</v>
      </c>
      <c r="B194" s="19"/>
      <c r="C194">
        <v>3500</v>
      </c>
      <c r="D194">
        <v>3250</v>
      </c>
      <c r="E194" s="1">
        <v>3500</v>
      </c>
      <c r="F194" s="1">
        <v>3250</v>
      </c>
      <c r="G194" s="1">
        <v>3250</v>
      </c>
      <c r="H194" s="1">
        <v>4000</v>
      </c>
      <c r="I194" s="1">
        <v>4000</v>
      </c>
      <c r="J194" s="1"/>
      <c r="K194" s="1"/>
      <c r="L194" s="1"/>
      <c r="M194" s="1"/>
      <c r="N194" s="1"/>
      <c r="O194" s="1"/>
      <c r="P194">
        <f t="shared" ca="1" si="4"/>
        <v>10000000</v>
      </c>
    </row>
    <row r="195" spans="1:16" x14ac:dyDescent="0.3">
      <c r="A195" s="26">
        <f t="shared" si="5"/>
        <v>46427</v>
      </c>
      <c r="B195" s="19"/>
      <c r="C195">
        <v>3500</v>
      </c>
      <c r="D195">
        <v>3250</v>
      </c>
      <c r="E195" s="1">
        <v>3500</v>
      </c>
      <c r="F195" s="1">
        <v>3250</v>
      </c>
      <c r="G195" s="1">
        <v>3250</v>
      </c>
      <c r="H195" s="1">
        <v>4000</v>
      </c>
      <c r="I195" s="1">
        <v>4000</v>
      </c>
      <c r="J195" s="1"/>
      <c r="K195" s="1"/>
      <c r="L195" s="1"/>
      <c r="M195" s="1"/>
      <c r="N195" s="1"/>
      <c r="O195" s="1"/>
      <c r="P195">
        <f t="shared" ref="P195:P214" ca="1" si="6">IF(TODAY()&gt;A195,-100,10000000)</f>
        <v>10000000</v>
      </c>
    </row>
    <row r="196" spans="1:16" x14ac:dyDescent="0.3">
      <c r="A196" s="26">
        <f t="shared" si="5"/>
        <v>46428</v>
      </c>
      <c r="B196" s="19"/>
      <c r="C196">
        <v>3500</v>
      </c>
      <c r="D196">
        <v>3250</v>
      </c>
      <c r="E196" s="1">
        <v>3500</v>
      </c>
      <c r="F196" s="1">
        <v>3250</v>
      </c>
      <c r="G196" s="1">
        <v>3250</v>
      </c>
      <c r="H196" s="1">
        <v>4000</v>
      </c>
      <c r="I196" s="1">
        <v>4000</v>
      </c>
      <c r="J196" s="1"/>
      <c r="K196" s="1"/>
      <c r="L196" s="1"/>
      <c r="M196" s="1"/>
      <c r="N196" s="1"/>
      <c r="O196" s="1"/>
      <c r="P196">
        <f t="shared" ca="1" si="6"/>
        <v>10000000</v>
      </c>
    </row>
    <row r="197" spans="1:16" x14ac:dyDescent="0.3">
      <c r="A197" s="26">
        <f t="shared" ref="A197:A214" si="7">A196+1</f>
        <v>46429</v>
      </c>
      <c r="B197" s="19"/>
      <c r="C197">
        <v>3500</v>
      </c>
      <c r="D197">
        <v>3250</v>
      </c>
      <c r="E197" s="1">
        <v>3500</v>
      </c>
      <c r="F197" s="1">
        <v>3250</v>
      </c>
      <c r="G197" s="1">
        <v>3250</v>
      </c>
      <c r="H197" s="1">
        <v>4000</v>
      </c>
      <c r="I197" s="1">
        <v>4000</v>
      </c>
      <c r="J197" s="1"/>
      <c r="K197" s="1"/>
      <c r="L197" s="1"/>
      <c r="M197" s="1"/>
      <c r="N197" s="1"/>
      <c r="O197" s="1"/>
      <c r="P197">
        <f t="shared" ca="1" si="6"/>
        <v>10000000</v>
      </c>
    </row>
    <row r="198" spans="1:16" x14ac:dyDescent="0.3">
      <c r="A198" s="26">
        <f t="shared" si="7"/>
        <v>46430</v>
      </c>
      <c r="B198" s="19"/>
      <c r="C198">
        <v>3500</v>
      </c>
      <c r="D198">
        <v>3250</v>
      </c>
      <c r="E198" s="1">
        <v>3500</v>
      </c>
      <c r="F198" s="1">
        <v>3250</v>
      </c>
      <c r="G198" s="1">
        <v>3250</v>
      </c>
      <c r="H198" s="1">
        <v>4000</v>
      </c>
      <c r="I198" s="1">
        <v>4000</v>
      </c>
      <c r="J198" s="1"/>
      <c r="K198" s="1"/>
      <c r="L198" s="1"/>
      <c r="M198" s="1"/>
      <c r="N198" s="1"/>
      <c r="O198" s="1"/>
      <c r="P198">
        <f t="shared" ca="1" si="6"/>
        <v>10000000</v>
      </c>
    </row>
    <row r="199" spans="1:16" x14ac:dyDescent="0.3">
      <c r="A199" s="26">
        <f t="shared" si="7"/>
        <v>46431</v>
      </c>
      <c r="B199" s="19"/>
      <c r="C199">
        <v>3500</v>
      </c>
      <c r="D199">
        <v>3250</v>
      </c>
      <c r="E199" s="1">
        <v>3500</v>
      </c>
      <c r="F199" s="1">
        <v>3250</v>
      </c>
      <c r="G199" s="1">
        <v>3250</v>
      </c>
      <c r="H199" s="1">
        <v>4000</v>
      </c>
      <c r="I199" s="1">
        <v>4000</v>
      </c>
      <c r="J199" s="1"/>
      <c r="K199" s="1"/>
      <c r="L199" s="1"/>
      <c r="M199" s="1"/>
      <c r="N199" s="1"/>
      <c r="O199" s="1"/>
      <c r="P199">
        <f t="shared" ca="1" si="6"/>
        <v>10000000</v>
      </c>
    </row>
    <row r="200" spans="1:16" x14ac:dyDescent="0.3">
      <c r="A200" s="26">
        <f t="shared" si="7"/>
        <v>46432</v>
      </c>
      <c r="B200" s="19"/>
      <c r="C200">
        <v>3500</v>
      </c>
      <c r="D200">
        <v>3250</v>
      </c>
      <c r="E200" s="1">
        <v>3500</v>
      </c>
      <c r="F200" s="1">
        <v>3250</v>
      </c>
      <c r="G200" s="1">
        <v>3250</v>
      </c>
      <c r="H200" s="1">
        <v>4000</v>
      </c>
      <c r="I200" s="1">
        <v>4000</v>
      </c>
      <c r="J200" s="1"/>
      <c r="K200" s="1"/>
      <c r="L200" s="1"/>
      <c r="M200" s="1"/>
      <c r="N200" s="1"/>
      <c r="O200" s="1"/>
      <c r="P200">
        <f t="shared" ca="1" si="6"/>
        <v>10000000</v>
      </c>
    </row>
    <row r="201" spans="1:16" x14ac:dyDescent="0.3">
      <c r="A201" s="26">
        <f t="shared" si="7"/>
        <v>46433</v>
      </c>
      <c r="B201" s="19"/>
      <c r="C201">
        <v>3500</v>
      </c>
      <c r="D201">
        <v>3250</v>
      </c>
      <c r="E201" s="1">
        <v>3500</v>
      </c>
      <c r="F201" s="1">
        <v>3250</v>
      </c>
      <c r="G201" s="1">
        <v>3250</v>
      </c>
      <c r="H201" s="1">
        <v>4000</v>
      </c>
      <c r="I201" s="1">
        <v>4000</v>
      </c>
      <c r="J201" s="1"/>
      <c r="K201" s="1"/>
      <c r="L201" s="1"/>
      <c r="M201" s="1"/>
      <c r="N201" s="1"/>
      <c r="O201" s="1"/>
      <c r="P201">
        <f t="shared" ca="1" si="6"/>
        <v>10000000</v>
      </c>
    </row>
    <row r="202" spans="1:16" x14ac:dyDescent="0.3">
      <c r="A202" s="26">
        <f t="shared" si="7"/>
        <v>46434</v>
      </c>
      <c r="B202" s="19"/>
      <c r="C202">
        <v>3500</v>
      </c>
      <c r="D202">
        <v>3250</v>
      </c>
      <c r="E202" s="1">
        <v>3500</v>
      </c>
      <c r="F202" s="1">
        <v>3250</v>
      </c>
      <c r="G202" s="1">
        <v>3250</v>
      </c>
      <c r="H202" s="1">
        <v>4000</v>
      </c>
      <c r="I202" s="1">
        <v>4000</v>
      </c>
      <c r="J202" s="1"/>
      <c r="K202" s="1"/>
      <c r="L202" s="1"/>
      <c r="M202" s="1"/>
      <c r="N202" s="1"/>
      <c r="O202" s="1"/>
      <c r="P202">
        <f t="shared" ca="1" si="6"/>
        <v>10000000</v>
      </c>
    </row>
    <row r="203" spans="1:16" x14ac:dyDescent="0.3">
      <c r="A203" s="26">
        <f t="shared" si="7"/>
        <v>46435</v>
      </c>
      <c r="B203" s="19"/>
      <c r="C203">
        <v>3500</v>
      </c>
      <c r="D203">
        <v>3250</v>
      </c>
      <c r="E203" s="1">
        <v>3500</v>
      </c>
      <c r="F203" s="1">
        <v>3250</v>
      </c>
      <c r="G203" s="1">
        <v>3250</v>
      </c>
      <c r="H203" s="1">
        <v>4000</v>
      </c>
      <c r="I203" s="1">
        <v>4000</v>
      </c>
      <c r="J203" s="1"/>
      <c r="K203" s="1"/>
      <c r="L203" s="1"/>
      <c r="M203" s="1"/>
      <c r="N203" s="1"/>
      <c r="O203" s="1"/>
      <c r="P203">
        <f t="shared" ca="1" si="6"/>
        <v>10000000</v>
      </c>
    </row>
    <row r="204" spans="1:16" x14ac:dyDescent="0.3">
      <c r="A204" s="26">
        <f t="shared" si="7"/>
        <v>46436</v>
      </c>
      <c r="B204" s="19"/>
      <c r="C204">
        <v>3500</v>
      </c>
      <c r="D204">
        <v>3250</v>
      </c>
      <c r="E204" s="1">
        <v>3500</v>
      </c>
      <c r="F204" s="1">
        <v>3250</v>
      </c>
      <c r="G204" s="1">
        <v>3250</v>
      </c>
      <c r="H204" s="1">
        <v>4000</v>
      </c>
      <c r="I204" s="1">
        <v>4000</v>
      </c>
      <c r="J204" s="1"/>
      <c r="K204" s="1"/>
      <c r="L204" s="1"/>
      <c r="M204" s="1"/>
      <c r="N204" s="1"/>
      <c r="O204" s="1"/>
      <c r="P204">
        <f t="shared" ca="1" si="6"/>
        <v>10000000</v>
      </c>
    </row>
    <row r="205" spans="1:16" x14ac:dyDescent="0.3">
      <c r="A205" s="26">
        <f t="shared" si="7"/>
        <v>46437</v>
      </c>
      <c r="B205" s="19"/>
      <c r="C205">
        <v>3500</v>
      </c>
      <c r="D205">
        <v>3250</v>
      </c>
      <c r="E205" s="1">
        <v>3500</v>
      </c>
      <c r="F205" s="1">
        <v>3250</v>
      </c>
      <c r="G205" s="1">
        <v>3250</v>
      </c>
      <c r="H205" s="1">
        <v>4000</v>
      </c>
      <c r="I205" s="1">
        <v>4000</v>
      </c>
      <c r="J205" s="1"/>
      <c r="K205" s="1"/>
      <c r="L205" s="1"/>
      <c r="M205" s="1"/>
      <c r="N205" s="1"/>
      <c r="O205" s="1"/>
      <c r="P205">
        <f t="shared" ca="1" si="6"/>
        <v>10000000</v>
      </c>
    </row>
    <row r="206" spans="1:16" x14ac:dyDescent="0.3">
      <c r="A206" s="26">
        <f t="shared" si="7"/>
        <v>46438</v>
      </c>
      <c r="B206" s="19"/>
      <c r="C206">
        <v>3500</v>
      </c>
      <c r="D206">
        <v>3250</v>
      </c>
      <c r="E206" s="1">
        <v>3500</v>
      </c>
      <c r="F206" s="1">
        <v>3250</v>
      </c>
      <c r="G206" s="1">
        <v>3250</v>
      </c>
      <c r="H206" s="1">
        <v>4000</v>
      </c>
      <c r="I206" s="1">
        <v>4000</v>
      </c>
      <c r="J206" s="1"/>
      <c r="K206" s="1"/>
      <c r="L206" s="1"/>
      <c r="M206" s="1"/>
      <c r="N206" s="1"/>
      <c r="O206" s="1"/>
      <c r="P206">
        <f t="shared" ca="1" si="6"/>
        <v>10000000</v>
      </c>
    </row>
    <row r="207" spans="1:16" x14ac:dyDescent="0.3">
      <c r="A207" s="26">
        <f t="shared" si="7"/>
        <v>46439</v>
      </c>
      <c r="B207" s="19"/>
      <c r="C207">
        <v>3500</v>
      </c>
      <c r="D207">
        <v>3250</v>
      </c>
      <c r="E207" s="1">
        <v>3500</v>
      </c>
      <c r="F207" s="1">
        <v>3250</v>
      </c>
      <c r="G207" s="1">
        <v>3250</v>
      </c>
      <c r="H207" s="1">
        <v>4000</v>
      </c>
      <c r="I207" s="1">
        <v>4000</v>
      </c>
      <c r="J207" s="1"/>
      <c r="K207" s="1"/>
      <c r="L207" s="1"/>
      <c r="M207" s="1"/>
      <c r="N207" s="1"/>
      <c r="O207" s="1"/>
      <c r="P207">
        <f t="shared" ca="1" si="6"/>
        <v>10000000</v>
      </c>
    </row>
    <row r="208" spans="1:16" x14ac:dyDescent="0.3">
      <c r="A208" s="26">
        <f t="shared" si="7"/>
        <v>46440</v>
      </c>
      <c r="B208" s="19"/>
      <c r="C208">
        <v>3500</v>
      </c>
      <c r="D208">
        <v>3250</v>
      </c>
      <c r="E208" s="1">
        <v>3500</v>
      </c>
      <c r="F208" s="1">
        <v>3250</v>
      </c>
      <c r="G208" s="1">
        <v>3250</v>
      </c>
      <c r="H208" s="1">
        <v>4000</v>
      </c>
      <c r="I208" s="1">
        <v>4000</v>
      </c>
      <c r="J208" s="1"/>
      <c r="K208" s="1"/>
      <c r="L208" s="1"/>
      <c r="M208" s="1"/>
      <c r="N208" s="1"/>
      <c r="O208" s="1"/>
      <c r="P208">
        <f t="shared" ca="1" si="6"/>
        <v>10000000</v>
      </c>
    </row>
    <row r="209" spans="1:16" x14ac:dyDescent="0.3">
      <c r="A209" s="26">
        <f t="shared" si="7"/>
        <v>46441</v>
      </c>
      <c r="B209" s="19"/>
      <c r="C209">
        <v>3500</v>
      </c>
      <c r="D209">
        <v>3250</v>
      </c>
      <c r="E209" s="1">
        <v>3500</v>
      </c>
      <c r="F209" s="1">
        <v>3250</v>
      </c>
      <c r="G209" s="1">
        <v>3250</v>
      </c>
      <c r="H209" s="1">
        <v>4000</v>
      </c>
      <c r="I209" s="1">
        <v>4000</v>
      </c>
      <c r="J209" s="1"/>
      <c r="K209" s="1"/>
      <c r="L209" s="1"/>
      <c r="M209" s="1"/>
      <c r="N209" s="1"/>
      <c r="O209" s="1"/>
      <c r="P209">
        <f t="shared" ca="1" si="6"/>
        <v>10000000</v>
      </c>
    </row>
    <row r="210" spans="1:16" x14ac:dyDescent="0.3">
      <c r="A210" s="26">
        <f t="shared" si="7"/>
        <v>46442</v>
      </c>
      <c r="B210" s="19"/>
      <c r="C210">
        <v>3500</v>
      </c>
      <c r="D210">
        <v>3250</v>
      </c>
      <c r="E210" s="1">
        <v>3500</v>
      </c>
      <c r="F210" s="1">
        <v>3250</v>
      </c>
      <c r="G210" s="1">
        <v>3250</v>
      </c>
      <c r="H210" s="1">
        <v>4000</v>
      </c>
      <c r="I210" s="1">
        <v>4000</v>
      </c>
      <c r="J210" s="1"/>
      <c r="K210" s="1"/>
      <c r="L210" s="1"/>
      <c r="M210" s="1"/>
      <c r="N210" s="1"/>
      <c r="O210" s="1"/>
      <c r="P210">
        <f t="shared" ca="1" si="6"/>
        <v>10000000</v>
      </c>
    </row>
    <row r="211" spans="1:16" x14ac:dyDescent="0.3">
      <c r="A211" s="26">
        <f t="shared" si="7"/>
        <v>46443</v>
      </c>
      <c r="B211" s="19"/>
      <c r="C211">
        <v>3500</v>
      </c>
      <c r="D211">
        <v>3250</v>
      </c>
      <c r="E211" s="1">
        <v>3500</v>
      </c>
      <c r="F211" s="1">
        <v>3250</v>
      </c>
      <c r="G211" s="1">
        <v>3250</v>
      </c>
      <c r="H211" s="1">
        <v>4000</v>
      </c>
      <c r="I211" s="1">
        <v>4000</v>
      </c>
      <c r="J211" s="1"/>
      <c r="K211" s="1"/>
      <c r="L211" s="1"/>
      <c r="M211" s="1"/>
      <c r="N211" s="1"/>
      <c r="O211" s="1"/>
      <c r="P211">
        <f t="shared" ca="1" si="6"/>
        <v>10000000</v>
      </c>
    </row>
    <row r="212" spans="1:16" x14ac:dyDescent="0.3">
      <c r="A212" s="26">
        <f t="shared" si="7"/>
        <v>46444</v>
      </c>
      <c r="B212" s="19"/>
      <c r="C212">
        <v>3500</v>
      </c>
      <c r="D212">
        <v>3250</v>
      </c>
      <c r="E212" s="1">
        <v>3500</v>
      </c>
      <c r="F212" s="1">
        <v>3250</v>
      </c>
      <c r="G212" s="1">
        <v>3250</v>
      </c>
      <c r="H212" s="1">
        <v>4000</v>
      </c>
      <c r="I212" s="1">
        <v>4000</v>
      </c>
      <c r="J212" s="1"/>
      <c r="K212" s="1"/>
      <c r="L212" s="1"/>
      <c r="M212" s="1"/>
      <c r="N212" s="1"/>
      <c r="O212" s="1"/>
      <c r="P212">
        <f t="shared" ca="1" si="6"/>
        <v>10000000</v>
      </c>
    </row>
    <row r="213" spans="1:16" x14ac:dyDescent="0.3">
      <c r="A213" s="26">
        <f t="shared" si="7"/>
        <v>46445</v>
      </c>
      <c r="B213" s="19"/>
      <c r="C213">
        <v>3500</v>
      </c>
      <c r="D213">
        <v>3250</v>
      </c>
      <c r="E213" s="1">
        <v>3500</v>
      </c>
      <c r="F213" s="1">
        <v>3250</v>
      </c>
      <c r="G213" s="1">
        <v>3250</v>
      </c>
      <c r="H213" s="1">
        <v>4000</v>
      </c>
      <c r="I213" s="1">
        <v>4000</v>
      </c>
      <c r="J213" s="1"/>
      <c r="K213" s="1"/>
      <c r="L213" s="1"/>
      <c r="M213" s="1"/>
      <c r="N213" s="1"/>
      <c r="O213" s="1"/>
      <c r="P213">
        <f t="shared" ca="1" si="6"/>
        <v>10000000</v>
      </c>
    </row>
    <row r="214" spans="1:16" x14ac:dyDescent="0.3">
      <c r="A214" s="26">
        <f t="shared" si="7"/>
        <v>46446</v>
      </c>
      <c r="B214" s="19"/>
      <c r="C214">
        <v>3500</v>
      </c>
      <c r="D214">
        <v>3250</v>
      </c>
      <c r="E214" s="1">
        <v>3500</v>
      </c>
      <c r="F214" s="1">
        <v>3250</v>
      </c>
      <c r="G214" s="1">
        <v>3250</v>
      </c>
      <c r="H214" s="1">
        <v>4000</v>
      </c>
      <c r="I214" s="1">
        <v>4000</v>
      </c>
      <c r="J214" s="1"/>
      <c r="K214" s="1"/>
      <c r="L214" s="1"/>
      <c r="M214" s="1"/>
      <c r="N214" s="1"/>
      <c r="O214" s="1"/>
      <c r="P214">
        <f t="shared" ca="1" si="6"/>
        <v>10000000</v>
      </c>
    </row>
    <row r="215" spans="1:16" x14ac:dyDescent="0.3">
      <c r="A215" s="26"/>
      <c r="B215" s="19"/>
      <c r="E215" s="1"/>
      <c r="F215" s="1"/>
      <c r="G215" s="1"/>
      <c r="H215" s="1"/>
      <c r="I215" s="1"/>
      <c r="J215" s="1"/>
      <c r="K215" s="1"/>
      <c r="L215" s="1"/>
      <c r="O215" s="1"/>
    </row>
    <row r="216" spans="1:16" x14ac:dyDescent="0.3">
      <c r="A216" s="21"/>
      <c r="B216" s="21"/>
      <c r="E216" s="14"/>
      <c r="F216" s="14"/>
      <c r="G216" s="14"/>
      <c r="H216" s="14"/>
      <c r="J216" s="14"/>
      <c r="K216" s="14"/>
      <c r="L216" s="14"/>
      <c r="O216" s="14"/>
    </row>
    <row r="217" spans="1:16" x14ac:dyDescent="0.3">
      <c r="A217" s="12" t="s">
        <v>4</v>
      </c>
      <c r="B217" s="25">
        <f t="shared" ref="B217" si="8">AVERAGE(B3:B33)</f>
        <v>11304.41935483871</v>
      </c>
      <c r="C217" s="25">
        <v>12400</v>
      </c>
      <c r="D217" s="25">
        <v>12630</v>
      </c>
      <c r="E217" s="25"/>
      <c r="F217" s="25"/>
      <c r="G217" s="25"/>
      <c r="H217" s="25"/>
      <c r="I217" s="25"/>
      <c r="J217" s="25"/>
      <c r="K217" s="25"/>
      <c r="L217" s="25"/>
      <c r="O217" s="15"/>
    </row>
    <row r="218" spans="1:16" s="18" customFormat="1" x14ac:dyDescent="0.3">
      <c r="A218" s="24" t="s">
        <v>5</v>
      </c>
      <c r="B218" s="24"/>
      <c r="C218" s="25">
        <f t="shared" ref="C218:D218" si="9">AVERAGE(C34:C63)</f>
        <v>8000</v>
      </c>
      <c r="D218" s="25">
        <f t="shared" si="9"/>
        <v>7100</v>
      </c>
      <c r="E218" s="25">
        <f t="shared" ref="E218:L218" si="10">AVERAGE(E34:E63)</f>
        <v>8000</v>
      </c>
      <c r="F218" s="25">
        <f t="shared" si="10"/>
        <v>8000</v>
      </c>
      <c r="G218" s="25">
        <f t="shared" si="10"/>
        <v>8000</v>
      </c>
      <c r="H218" s="25">
        <f t="shared" ref="H218" si="11">AVERAGE(H34:H63)</f>
        <v>6622.6333333333332</v>
      </c>
      <c r="I218" s="25">
        <f t="shared" si="10"/>
        <v>6839.3</v>
      </c>
      <c r="J218" s="25" t="e">
        <f t="shared" si="10"/>
        <v>#DIV/0!</v>
      </c>
      <c r="K218" s="25" t="e">
        <f>AVERAGE(K34:K63)</f>
        <v>#DIV/0!</v>
      </c>
      <c r="L218" s="25" t="e">
        <f t="shared" si="10"/>
        <v>#DIV/0!</v>
      </c>
      <c r="M218" s="25" t="e">
        <f t="shared" ref="M218:N218" si="12">AVERAGE(M34:M63)</f>
        <v>#DIV/0!</v>
      </c>
      <c r="N218" s="25" t="e">
        <f t="shared" si="12"/>
        <v>#DIV/0!</v>
      </c>
      <c r="O218" s="15"/>
    </row>
    <row r="219" spans="1:16" s="18" customFormat="1" x14ac:dyDescent="0.3">
      <c r="A219" s="12" t="s">
        <v>6</v>
      </c>
      <c r="B219" s="12"/>
      <c r="C219" s="15">
        <f t="shared" ref="C219:D219" si="13">AVERAGE(C64:C94)</f>
        <v>7000</v>
      </c>
      <c r="D219" s="15">
        <f t="shared" si="13"/>
        <v>7000</v>
      </c>
      <c r="E219" s="15">
        <f t="shared" ref="E219:L219" si="14">AVERAGE(E64:E94)</f>
        <v>6500</v>
      </c>
      <c r="F219" s="15">
        <f t="shared" si="14"/>
        <v>6000</v>
      </c>
      <c r="G219" s="15">
        <f t="shared" si="14"/>
        <v>5774.1935483870966</v>
      </c>
      <c r="H219" s="15">
        <f t="shared" ref="H219" si="15">AVERAGE(H64:H94)</f>
        <v>5741.9354838709678</v>
      </c>
      <c r="I219" s="15">
        <f t="shared" si="14"/>
        <v>6500</v>
      </c>
      <c r="J219" s="15" t="e">
        <f t="shared" si="14"/>
        <v>#DIV/0!</v>
      </c>
      <c r="K219" s="15" t="e">
        <f>AVERAGE(K64:K94)</f>
        <v>#DIV/0!</v>
      </c>
      <c r="L219" s="15" t="e">
        <f t="shared" si="14"/>
        <v>#DIV/0!</v>
      </c>
      <c r="M219" s="15" t="e">
        <f t="shared" ref="M219:N219" si="16">AVERAGE(M64:M94)</f>
        <v>#DIV/0!</v>
      </c>
      <c r="N219" s="15" t="e">
        <f t="shared" si="16"/>
        <v>#DIV/0!</v>
      </c>
      <c r="O219" s="15"/>
    </row>
    <row r="220" spans="1:16" s="18" customFormat="1" x14ac:dyDescent="0.3">
      <c r="A220" s="12" t="s">
        <v>7</v>
      </c>
      <c r="B220" s="12"/>
      <c r="C220" s="15">
        <f t="shared" ref="C220:D220" si="17">AVERAGE(C95:C124)</f>
        <v>5200</v>
      </c>
      <c r="D220" s="15">
        <f t="shared" si="17"/>
        <v>4100</v>
      </c>
      <c r="E220" s="15">
        <f t="shared" ref="E220:L220" si="18">AVERAGE(E95:E124)</f>
        <v>5200</v>
      </c>
      <c r="F220" s="15">
        <f t="shared" si="18"/>
        <v>5700</v>
      </c>
      <c r="G220" s="15">
        <f t="shared" si="18"/>
        <v>4630</v>
      </c>
      <c r="H220" s="15">
        <f t="shared" ref="H220" si="19">AVERAGE(H95:H124)</f>
        <v>4723.333333333333</v>
      </c>
      <c r="I220" s="15">
        <f t="shared" si="18"/>
        <v>4366.666666666667</v>
      </c>
      <c r="J220" s="15" t="e">
        <f t="shared" si="18"/>
        <v>#DIV/0!</v>
      </c>
      <c r="K220" s="15" t="e">
        <f>AVERAGE(K95:K124)</f>
        <v>#DIV/0!</v>
      </c>
      <c r="L220" s="15" t="e">
        <f t="shared" si="18"/>
        <v>#DIV/0!</v>
      </c>
      <c r="M220" s="15" t="e">
        <f t="shared" ref="M220:N220" si="20">AVERAGE(M95:M124)</f>
        <v>#DIV/0!</v>
      </c>
      <c r="N220" s="15" t="e">
        <f t="shared" si="20"/>
        <v>#DIV/0!</v>
      </c>
      <c r="O220" s="15"/>
    </row>
    <row r="221" spans="1:16" s="18" customFormat="1" x14ac:dyDescent="0.3">
      <c r="A221" s="12" t="s">
        <v>8</v>
      </c>
      <c r="B221" s="12"/>
      <c r="C221" s="15">
        <f t="shared" ref="C221:D221" si="21">AVERAGE(C125:C155)</f>
        <v>3250</v>
      </c>
      <c r="D221" s="15">
        <f t="shared" si="21"/>
        <v>3250</v>
      </c>
      <c r="E221" s="15">
        <f t="shared" ref="E221:L221" si="22">AVERAGE(E125:E155)</f>
        <v>3250</v>
      </c>
      <c r="F221" s="15">
        <f t="shared" si="22"/>
        <v>3250</v>
      </c>
      <c r="G221" s="15">
        <f t="shared" si="22"/>
        <v>3250</v>
      </c>
      <c r="H221" s="15">
        <f t="shared" ref="H221" si="23">AVERAGE(H125:H155)</f>
        <v>4000</v>
      </c>
      <c r="I221" s="15">
        <f t="shared" si="22"/>
        <v>4000</v>
      </c>
      <c r="J221" s="15" t="e">
        <f t="shared" si="22"/>
        <v>#DIV/0!</v>
      </c>
      <c r="K221" s="15" t="e">
        <f>AVERAGE(K125:K155)</f>
        <v>#DIV/0!</v>
      </c>
      <c r="L221" s="15" t="e">
        <f t="shared" si="22"/>
        <v>#DIV/0!</v>
      </c>
      <c r="M221" s="15" t="e">
        <f t="shared" ref="M221:N221" si="24">AVERAGE(M125:M155)</f>
        <v>#DIV/0!</v>
      </c>
      <c r="N221" s="15" t="e">
        <f t="shared" si="24"/>
        <v>#DIV/0!</v>
      </c>
      <c r="O221" s="15"/>
    </row>
    <row r="222" spans="1:16" s="18" customFormat="1" x14ac:dyDescent="0.3">
      <c r="A222" s="12" t="s">
        <v>9</v>
      </c>
      <c r="B222" s="12"/>
      <c r="C222" s="15">
        <f t="shared" ref="C222:D222" si="25">AVERAGE(C156:C186)</f>
        <v>3250</v>
      </c>
      <c r="D222" s="15">
        <f t="shared" si="25"/>
        <v>3250</v>
      </c>
      <c r="E222" s="15">
        <f t="shared" ref="E222:L222" si="26">AVERAGE(E156:E186)</f>
        <v>3250</v>
      </c>
      <c r="F222" s="15">
        <f t="shared" si="26"/>
        <v>3250</v>
      </c>
      <c r="G222" s="15">
        <f t="shared" si="26"/>
        <v>3250</v>
      </c>
      <c r="H222" s="15">
        <f t="shared" ref="H222" si="27">AVERAGE(H156:H186)</f>
        <v>4000</v>
      </c>
      <c r="I222" s="15">
        <f t="shared" si="26"/>
        <v>4000</v>
      </c>
      <c r="J222" s="15" t="e">
        <f t="shared" si="26"/>
        <v>#DIV/0!</v>
      </c>
      <c r="K222" s="15" t="e">
        <f>AVERAGE(K156:K186)</f>
        <v>#DIV/0!</v>
      </c>
      <c r="L222" s="15" t="e">
        <f t="shared" si="26"/>
        <v>#DIV/0!</v>
      </c>
      <c r="M222" s="15" t="e">
        <f t="shared" ref="M222:N222" si="28">AVERAGE(M156:M186)</f>
        <v>#DIV/0!</v>
      </c>
      <c r="N222" s="15" t="e">
        <f t="shared" si="28"/>
        <v>#DIV/0!</v>
      </c>
      <c r="O222" s="15"/>
    </row>
    <row r="223" spans="1:16" s="18" customFormat="1" x14ac:dyDescent="0.3">
      <c r="A223" s="12" t="s">
        <v>10</v>
      </c>
      <c r="B223" s="12"/>
      <c r="C223" s="15">
        <f t="shared" ref="C223:D223" si="29">AVERAGE(C187:C214)</f>
        <v>3500</v>
      </c>
      <c r="D223" s="15">
        <f t="shared" si="29"/>
        <v>3250</v>
      </c>
      <c r="E223" s="15">
        <f t="shared" ref="E223:L223" si="30">AVERAGE(E187:E214)</f>
        <v>3500</v>
      </c>
      <c r="F223" s="15">
        <f t="shared" si="30"/>
        <v>3250</v>
      </c>
      <c r="G223" s="15">
        <f t="shared" si="30"/>
        <v>3250</v>
      </c>
      <c r="H223" s="15">
        <f t="shared" ref="H223" si="31">AVERAGE(H187:H214)</f>
        <v>4000</v>
      </c>
      <c r="I223" s="15">
        <f t="shared" si="30"/>
        <v>4000</v>
      </c>
      <c r="J223" s="15" t="e">
        <f t="shared" si="30"/>
        <v>#DIV/0!</v>
      </c>
      <c r="K223" s="15" t="e">
        <f>AVERAGE(K187:K214)</f>
        <v>#DIV/0!</v>
      </c>
      <c r="L223" s="15" t="e">
        <f t="shared" si="30"/>
        <v>#DIV/0!</v>
      </c>
      <c r="M223" s="15" t="e">
        <f t="shared" ref="M223:N223" si="32">AVERAGE(M187:M214)</f>
        <v>#DIV/0!</v>
      </c>
      <c r="N223" s="15" t="e">
        <f t="shared" si="32"/>
        <v>#DIV/0!</v>
      </c>
      <c r="O223" s="15"/>
    </row>
    <row r="224" spans="1:16" s="18" customFormat="1" x14ac:dyDescent="0.3">
      <c r="A224" s="12"/>
      <c r="B224" s="12"/>
      <c r="C224" s="15"/>
      <c r="D224" s="15"/>
      <c r="E224" s="15"/>
      <c r="F224" s="15"/>
      <c r="G224" s="15"/>
      <c r="H224" s="15"/>
      <c r="I224" s="15"/>
      <c r="J224" s="15"/>
      <c r="K224" s="15"/>
      <c r="L224" s="15"/>
      <c r="M224" s="15"/>
      <c r="N224" s="15"/>
      <c r="O224" s="15"/>
    </row>
    <row r="225" spans="1:15" s="18" customFormat="1" x14ac:dyDescent="0.3">
      <c r="A225" s="12" t="s">
        <v>11</v>
      </c>
      <c r="B225" s="15">
        <f>((1.98347*31)*B217)/1000</f>
        <v>695.08127639000008</v>
      </c>
      <c r="C225" s="15">
        <v>762</v>
      </c>
      <c r="D225" s="15">
        <v>776</v>
      </c>
      <c r="E225" s="15"/>
      <c r="F225" s="15"/>
      <c r="G225" s="15"/>
      <c r="H225" s="15"/>
      <c r="I225" s="15"/>
      <c r="J225" s="15"/>
      <c r="K225" s="15"/>
      <c r="L225" s="15"/>
      <c r="M225" s="15"/>
      <c r="N225" s="15"/>
      <c r="O225" s="15"/>
    </row>
    <row r="226" spans="1:15" s="18" customFormat="1" x14ac:dyDescent="0.3">
      <c r="A226" s="12" t="s">
        <v>12</v>
      </c>
      <c r="B226" s="15"/>
      <c r="C226" s="15">
        <f t="shared" ref="C226:F226" si="33">((1.98347*30)*C218)/1000</f>
        <v>476.03280000000001</v>
      </c>
      <c r="D226" s="15">
        <f t="shared" si="33"/>
        <v>422.47910999999999</v>
      </c>
      <c r="E226" s="15">
        <f t="shared" si="33"/>
        <v>476.03280000000001</v>
      </c>
      <c r="F226" s="15">
        <f t="shared" si="33"/>
        <v>476.03280000000001</v>
      </c>
      <c r="G226" s="15">
        <f t="shared" ref="G226:L226" si="34">((1.98347*30)*G218)/1000</f>
        <v>476.03280000000001</v>
      </c>
      <c r="H226" s="15">
        <f t="shared" ref="H226" si="35">((1.98347*30)*H218)/1000</f>
        <v>394.07383613000002</v>
      </c>
      <c r="I226" s="15">
        <f t="shared" si="34"/>
        <v>406.96639112999998</v>
      </c>
      <c r="J226" s="15" t="e">
        <f t="shared" si="34"/>
        <v>#DIV/0!</v>
      </c>
      <c r="K226" s="15" t="e">
        <f t="shared" si="34"/>
        <v>#DIV/0!</v>
      </c>
      <c r="L226" s="15" t="e">
        <f t="shared" si="34"/>
        <v>#DIV/0!</v>
      </c>
      <c r="M226" s="15" t="e">
        <f t="shared" ref="M226:N226" si="36">((1.98347*30)*M218)/1000</f>
        <v>#DIV/0!</v>
      </c>
      <c r="N226" s="15" t="e">
        <f t="shared" si="36"/>
        <v>#DIV/0!</v>
      </c>
      <c r="O226" s="15"/>
    </row>
    <row r="227" spans="1:15" s="18" customFormat="1" x14ac:dyDescent="0.3">
      <c r="A227" s="12" t="s">
        <v>13</v>
      </c>
      <c r="B227" s="12"/>
      <c r="C227" s="15">
        <f t="shared" ref="C227:D227" si="37">((1.98347*31)*C219)/1000</f>
        <v>430.41299000000004</v>
      </c>
      <c r="D227" s="15">
        <f t="shared" si="37"/>
        <v>430.41299000000004</v>
      </c>
      <c r="E227" s="15">
        <f t="shared" ref="E227:L227" si="38">((1.98347*31)*E219)/1000</f>
        <v>399.66920500000003</v>
      </c>
      <c r="F227" s="15">
        <f t="shared" si="38"/>
        <v>368.92542000000003</v>
      </c>
      <c r="G227" s="15">
        <f t="shared" si="38"/>
        <v>355.04113000000001</v>
      </c>
      <c r="H227" s="15">
        <f t="shared" ref="H227" si="39">((1.98347*31)*H219)/1000</f>
        <v>353.05766000000006</v>
      </c>
      <c r="I227" s="15">
        <f t="shared" si="38"/>
        <v>399.66920500000003</v>
      </c>
      <c r="J227" s="15" t="e">
        <f t="shared" si="38"/>
        <v>#DIV/0!</v>
      </c>
      <c r="K227" s="15" t="e">
        <f>((1.98347*31)*K219)/1000</f>
        <v>#DIV/0!</v>
      </c>
      <c r="L227" s="15" t="e">
        <f t="shared" si="38"/>
        <v>#DIV/0!</v>
      </c>
      <c r="M227" s="15" t="e">
        <f t="shared" ref="M227:N227" si="40">((1.98347*31)*M219)/1000</f>
        <v>#DIV/0!</v>
      </c>
      <c r="N227" s="15" t="e">
        <f t="shared" si="40"/>
        <v>#DIV/0!</v>
      </c>
      <c r="O227" s="15"/>
    </row>
    <row r="228" spans="1:15" x14ac:dyDescent="0.3">
      <c r="A228" s="12" t="s">
        <v>14</v>
      </c>
      <c r="B228" s="18"/>
      <c r="C228" s="15">
        <f t="shared" ref="C228:D228" si="41">((1.98347*30)*C220)/1000</f>
        <v>309.42131999999998</v>
      </c>
      <c r="D228" s="15">
        <f t="shared" si="41"/>
        <v>243.96681000000001</v>
      </c>
      <c r="E228" s="15">
        <f t="shared" ref="E228:L228" si="42">((1.98347*30)*E220)/1000</f>
        <v>309.42131999999998</v>
      </c>
      <c r="F228" s="15">
        <f t="shared" si="42"/>
        <v>339.17336999999998</v>
      </c>
      <c r="G228" s="15">
        <f t="shared" si="42"/>
        <v>275.50398300000001</v>
      </c>
      <c r="H228" s="15">
        <f t="shared" ref="H228" si="43">((1.98347*30)*H220)/1000</f>
        <v>281.05769899999996</v>
      </c>
      <c r="I228" s="15">
        <f t="shared" si="42"/>
        <v>259.83457000000004</v>
      </c>
      <c r="J228" s="15" t="e">
        <f t="shared" si="42"/>
        <v>#DIV/0!</v>
      </c>
      <c r="K228" s="15" t="e">
        <f>((1.98347*30)*K220)/1000</f>
        <v>#DIV/0!</v>
      </c>
      <c r="L228" s="15" t="e">
        <f t="shared" si="42"/>
        <v>#DIV/0!</v>
      </c>
      <c r="M228" s="15" t="e">
        <f t="shared" ref="M228:N228" si="44">((1.98347*30)*M220)/1000</f>
        <v>#DIV/0!</v>
      </c>
      <c r="N228" s="15" t="e">
        <f t="shared" si="44"/>
        <v>#DIV/0!</v>
      </c>
      <c r="O228" s="15"/>
    </row>
    <row r="229" spans="1:15" x14ac:dyDescent="0.3">
      <c r="A229" s="12" t="s">
        <v>15</v>
      </c>
      <c r="B229" s="18"/>
      <c r="C229" s="15">
        <f t="shared" ref="C229:D229" si="45">((1.98347*31)*C221)/1000</f>
        <v>199.83460250000002</v>
      </c>
      <c r="D229" s="15">
        <f t="shared" si="45"/>
        <v>199.83460250000002</v>
      </c>
      <c r="E229" s="15">
        <f t="shared" ref="E229:L229" si="46">((1.98347*31)*E221)/1000</f>
        <v>199.83460250000002</v>
      </c>
      <c r="F229" s="15">
        <f t="shared" si="46"/>
        <v>199.83460250000002</v>
      </c>
      <c r="G229" s="15">
        <f t="shared" si="46"/>
        <v>199.83460250000002</v>
      </c>
      <c r="H229" s="15">
        <f t="shared" ref="H229" si="47">((1.98347*31)*H221)/1000</f>
        <v>245.95028000000002</v>
      </c>
      <c r="I229" s="15">
        <f t="shared" si="46"/>
        <v>245.95028000000002</v>
      </c>
      <c r="J229" s="15" t="e">
        <f t="shared" si="46"/>
        <v>#DIV/0!</v>
      </c>
      <c r="K229" s="15" t="e">
        <f>((1.98347*31)*K221)/1000</f>
        <v>#DIV/0!</v>
      </c>
      <c r="L229" s="15" t="e">
        <f t="shared" si="46"/>
        <v>#DIV/0!</v>
      </c>
      <c r="M229" s="15" t="e">
        <f t="shared" ref="M229:N229" si="48">((1.98347*31)*M221)/1000</f>
        <v>#DIV/0!</v>
      </c>
      <c r="N229" s="15" t="e">
        <f t="shared" si="48"/>
        <v>#DIV/0!</v>
      </c>
      <c r="O229" s="15"/>
    </row>
    <row r="230" spans="1:15" x14ac:dyDescent="0.3">
      <c r="A230" s="12" t="s">
        <v>16</v>
      </c>
      <c r="C230" s="15">
        <f t="shared" ref="C230:D230" si="49">((1.98347*31)*C222)/1000</f>
        <v>199.83460250000002</v>
      </c>
      <c r="D230" s="15">
        <f t="shared" si="49"/>
        <v>199.83460250000002</v>
      </c>
      <c r="E230" s="15">
        <f t="shared" ref="E230:L230" si="50">((1.98347*31)*E222)/1000</f>
        <v>199.83460250000002</v>
      </c>
      <c r="F230" s="15">
        <f t="shared" si="50"/>
        <v>199.83460250000002</v>
      </c>
      <c r="G230" s="15">
        <f t="shared" si="50"/>
        <v>199.83460250000002</v>
      </c>
      <c r="H230" s="15">
        <f t="shared" ref="H230" si="51">((1.98347*31)*H222)/1000</f>
        <v>245.95028000000002</v>
      </c>
      <c r="I230" s="15">
        <f t="shared" si="50"/>
        <v>245.95028000000002</v>
      </c>
      <c r="J230" s="15" t="e">
        <f t="shared" si="50"/>
        <v>#DIV/0!</v>
      </c>
      <c r="K230" s="15" t="e">
        <f>((1.98347*31)*K222)/1000</f>
        <v>#DIV/0!</v>
      </c>
      <c r="L230" s="15" t="e">
        <f t="shared" si="50"/>
        <v>#DIV/0!</v>
      </c>
      <c r="M230" s="15" t="e">
        <f t="shared" ref="M230:N230" si="52">((1.98347*31)*M222)/1000</f>
        <v>#DIV/0!</v>
      </c>
      <c r="N230" s="15" t="e">
        <f t="shared" si="52"/>
        <v>#DIV/0!</v>
      </c>
      <c r="O230" s="15"/>
    </row>
    <row r="231" spans="1:15" ht="15" thickBot="1" x14ac:dyDescent="0.35">
      <c r="A231" s="12" t="s">
        <v>17</v>
      </c>
      <c r="C231" s="15">
        <f t="shared" ref="C231:D231" si="53">((1.98347*28)*C223)/1000</f>
        <v>194.38005999999999</v>
      </c>
      <c r="D231" s="15">
        <f t="shared" si="53"/>
        <v>180.49576999999999</v>
      </c>
      <c r="E231" s="15">
        <f t="shared" ref="E231:L231" si="54">((1.98347*28)*E223)/1000</f>
        <v>194.38005999999999</v>
      </c>
      <c r="F231" s="15">
        <f t="shared" si="54"/>
        <v>180.49576999999999</v>
      </c>
      <c r="G231" s="15">
        <f t="shared" si="54"/>
        <v>180.49576999999999</v>
      </c>
      <c r="H231" s="15">
        <f t="shared" ref="H231" si="55">((1.98347*28)*H223)/1000</f>
        <v>222.14864</v>
      </c>
      <c r="I231" s="15">
        <f t="shared" si="54"/>
        <v>222.14864</v>
      </c>
      <c r="J231" s="15" t="e">
        <f t="shared" si="54"/>
        <v>#DIV/0!</v>
      </c>
      <c r="K231" s="15" t="e">
        <f>((1.98347*28)*K223)/1000</f>
        <v>#DIV/0!</v>
      </c>
      <c r="L231" s="15" t="e">
        <f t="shared" si="54"/>
        <v>#DIV/0!</v>
      </c>
      <c r="M231" s="15" t="e">
        <f t="shared" ref="M231:N231" si="56">((1.98347*28)*M223)/1000</f>
        <v>#DIV/0!</v>
      </c>
      <c r="N231" s="15" t="e">
        <f t="shared" si="56"/>
        <v>#DIV/0!</v>
      </c>
      <c r="O231" s="15"/>
    </row>
    <row r="232" spans="1:15" ht="15.6" thickTop="1" thickBot="1" x14ac:dyDescent="0.35">
      <c r="A232" s="49" t="s">
        <v>52</v>
      </c>
      <c r="B232" s="50"/>
      <c r="C232" s="51">
        <f t="shared" ref="C232:N232" si="57">SUM(C226:C231)</f>
        <v>1809.916375</v>
      </c>
      <c r="D232" s="51">
        <f t="shared" si="57"/>
        <v>1677.0238850000001</v>
      </c>
      <c r="E232" s="51">
        <f t="shared" si="57"/>
        <v>1779.1725900000001</v>
      </c>
      <c r="F232" s="51">
        <f t="shared" si="57"/>
        <v>1764.2965650000001</v>
      </c>
      <c r="G232" s="51">
        <f t="shared" si="57"/>
        <v>1686.7428880000002</v>
      </c>
      <c r="H232" s="51">
        <f t="shared" ref="H232" si="58">SUM(H226:H231)</f>
        <v>1742.2383951299998</v>
      </c>
      <c r="I232" s="51">
        <f t="shared" si="57"/>
        <v>1780.51936613</v>
      </c>
      <c r="J232" s="51" t="e">
        <f t="shared" si="57"/>
        <v>#DIV/0!</v>
      </c>
      <c r="K232" s="51" t="e">
        <f t="shared" si="57"/>
        <v>#DIV/0!</v>
      </c>
      <c r="L232" s="51" t="e">
        <f t="shared" si="57"/>
        <v>#DIV/0!</v>
      </c>
      <c r="M232" s="51" t="e">
        <f t="shared" si="57"/>
        <v>#DIV/0!</v>
      </c>
      <c r="N232" s="51" t="e">
        <f t="shared" si="57"/>
        <v>#DIV/0!</v>
      </c>
      <c r="O232" s="14"/>
    </row>
    <row r="233" spans="1:15" ht="15" thickTop="1" x14ac:dyDescent="0.3">
      <c r="A233" s="49" t="s">
        <v>56</v>
      </c>
      <c r="C233" s="51">
        <f>SUM(C226:C228)</f>
        <v>1215.8671099999999</v>
      </c>
      <c r="D233" s="51">
        <f t="shared" ref="D233:N233" si="59">SUM(D226:D228)</f>
        <v>1096.8589099999999</v>
      </c>
      <c r="E233" s="51">
        <f t="shared" si="59"/>
        <v>1185.123325</v>
      </c>
      <c r="F233" s="51">
        <f t="shared" si="59"/>
        <v>1184.13159</v>
      </c>
      <c r="G233" s="51">
        <f t="shared" si="59"/>
        <v>1106.5779130000001</v>
      </c>
      <c r="H233" s="51">
        <f t="shared" si="59"/>
        <v>1028.1891951299999</v>
      </c>
      <c r="I233" s="51">
        <f t="shared" si="59"/>
        <v>1066.4701661300001</v>
      </c>
      <c r="J233" s="51" t="e">
        <f t="shared" si="59"/>
        <v>#DIV/0!</v>
      </c>
      <c r="K233" s="51" t="e">
        <f t="shared" si="59"/>
        <v>#DIV/0!</v>
      </c>
      <c r="L233" s="51" t="e">
        <f t="shared" si="59"/>
        <v>#DIV/0!</v>
      </c>
      <c r="M233" s="51" t="e">
        <f t="shared" si="59"/>
        <v>#DIV/0!</v>
      </c>
      <c r="N233" s="51" t="e">
        <f t="shared" si="59"/>
        <v>#DIV/0!</v>
      </c>
      <c r="O233" s="14"/>
    </row>
    <row r="235" spans="1:15" x14ac:dyDescent="0.3">
      <c r="A235" s="12" t="s">
        <v>18</v>
      </c>
      <c r="C235">
        <v>2351</v>
      </c>
      <c r="D235">
        <v>2351</v>
      </c>
      <c r="H235">
        <v>2440</v>
      </c>
      <c r="I235">
        <v>2427</v>
      </c>
    </row>
    <row r="236" spans="1:15" x14ac:dyDescent="0.3">
      <c r="A236" s="12" t="s">
        <v>19</v>
      </c>
      <c r="C236">
        <v>2200</v>
      </c>
      <c r="D236">
        <v>2225</v>
      </c>
      <c r="H236">
        <v>2315</v>
      </c>
      <c r="I236">
        <v>2253</v>
      </c>
    </row>
    <row r="237" spans="1:15" x14ac:dyDescent="0.3">
      <c r="A237" s="12" t="s">
        <v>20</v>
      </c>
      <c r="C237">
        <v>2161</v>
      </c>
      <c r="D237">
        <v>2318</v>
      </c>
      <c r="H237">
        <v>2279</v>
      </c>
      <c r="I237">
        <v>2235</v>
      </c>
    </row>
    <row r="238" spans="1:15" x14ac:dyDescent="0.3">
      <c r="A238" s="12" t="s">
        <v>21</v>
      </c>
      <c r="C238">
        <v>2220</v>
      </c>
      <c r="D238">
        <v>2655</v>
      </c>
      <c r="H238">
        <v>2291</v>
      </c>
      <c r="I238">
        <v>2247</v>
      </c>
    </row>
    <row r="239" spans="1:15" x14ac:dyDescent="0.3">
      <c r="A239" s="12"/>
    </row>
    <row r="240" spans="1:15" x14ac:dyDescent="0.3">
      <c r="A240" s="12"/>
    </row>
  </sheetData>
  <phoneticPr fontId="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67B6F-CD3E-42CC-BABC-E7E74F1F1B54}">
  <dimension ref="A1:B19"/>
  <sheetViews>
    <sheetView zoomScale="120" zoomScaleNormal="120" workbookViewId="0">
      <selection activeCell="A8" sqref="A8"/>
    </sheetView>
  </sheetViews>
  <sheetFormatPr defaultRowHeight="14.4" x14ac:dyDescent="0.3"/>
  <cols>
    <col min="1" max="1" width="20.33203125" bestFit="1" customWidth="1"/>
  </cols>
  <sheetData>
    <row r="1" spans="1:2" x14ac:dyDescent="0.3">
      <c r="A1" s="18" t="s">
        <v>22</v>
      </c>
      <c r="B1" s="18" t="s">
        <v>23</v>
      </c>
    </row>
    <row r="2" spans="1:2" x14ac:dyDescent="0.3">
      <c r="A2" s="13" t="s">
        <v>38</v>
      </c>
      <c r="B2" t="s">
        <v>54</v>
      </c>
    </row>
    <row r="3" spans="1:2" x14ac:dyDescent="0.3">
      <c r="A3" s="13" t="s">
        <v>39</v>
      </c>
      <c r="B3" t="s">
        <v>54</v>
      </c>
    </row>
    <row r="4" spans="1:2" x14ac:dyDescent="0.3">
      <c r="A4" s="13" t="s">
        <v>40</v>
      </c>
      <c r="B4" t="s">
        <v>54</v>
      </c>
    </row>
    <row r="5" spans="1:2" x14ac:dyDescent="0.3">
      <c r="A5" s="13" t="s">
        <v>42</v>
      </c>
      <c r="B5" t="s">
        <v>54</v>
      </c>
    </row>
    <row r="6" spans="1:2" x14ac:dyDescent="0.3">
      <c r="A6" s="13" t="s">
        <v>53</v>
      </c>
      <c r="B6" t="s">
        <v>54</v>
      </c>
    </row>
    <row r="7" spans="1:2" x14ac:dyDescent="0.3">
      <c r="A7" s="13" t="s">
        <v>60</v>
      </c>
      <c r="B7" t="s">
        <v>24</v>
      </c>
    </row>
    <row r="8" spans="1:2" x14ac:dyDescent="0.3">
      <c r="A8" s="13" t="s">
        <v>55</v>
      </c>
      <c r="B8" t="s">
        <v>24</v>
      </c>
    </row>
    <row r="9" spans="1:2" x14ac:dyDescent="0.3">
      <c r="A9" s="13"/>
    </row>
    <row r="10" spans="1:2" x14ac:dyDescent="0.3">
      <c r="A10" s="13"/>
    </row>
    <row r="11" spans="1:2" x14ac:dyDescent="0.3">
      <c r="A11" s="13"/>
    </row>
    <row r="12" spans="1:2" x14ac:dyDescent="0.3">
      <c r="A12" s="13"/>
    </row>
    <row r="13" spans="1:2" x14ac:dyDescent="0.3">
      <c r="A13" s="13"/>
    </row>
    <row r="14" spans="1:2" x14ac:dyDescent="0.3">
      <c r="A14" s="42"/>
    </row>
    <row r="15" spans="1:2" x14ac:dyDescent="0.3">
      <c r="A15" s="13"/>
    </row>
    <row r="16" spans="1:2" x14ac:dyDescent="0.3">
      <c r="A16" s="13"/>
    </row>
    <row r="17" spans="1:1" x14ac:dyDescent="0.3">
      <c r="A17" s="13"/>
    </row>
    <row r="18" spans="1:1" x14ac:dyDescent="0.3">
      <c r="A18" s="13"/>
    </row>
    <row r="19" spans="1:1" x14ac:dyDescent="0.3">
      <c r="A19" s="13"/>
    </row>
  </sheetData>
  <phoneticPr fontId="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70860-48CD-4B92-B790-82066B2C7AEE}">
  <dimension ref="A1:B22"/>
  <sheetViews>
    <sheetView showGridLines="0" workbookViewId="0">
      <selection activeCell="G23" sqref="G23"/>
    </sheetView>
  </sheetViews>
  <sheetFormatPr defaultColWidth="8.5546875" defaultRowHeight="14.4" x14ac:dyDescent="0.3"/>
  <cols>
    <col min="1" max="1" width="13.44140625" customWidth="1"/>
  </cols>
  <sheetData>
    <row r="1" spans="1:2" ht="36.6" x14ac:dyDescent="0.3">
      <c r="A1" s="7" t="s">
        <v>47</v>
      </c>
    </row>
    <row r="2" spans="1:2" x14ac:dyDescent="0.3">
      <c r="A2" s="8" t="s">
        <v>32</v>
      </c>
      <c r="B2" s="2"/>
    </row>
    <row r="3" spans="1:2" x14ac:dyDescent="0.3">
      <c r="A3" s="9" t="s">
        <v>36</v>
      </c>
      <c r="B3" s="3"/>
    </row>
    <row r="4" spans="1:2" ht="15.6" x14ac:dyDescent="0.3">
      <c r="A4" s="9" t="s">
        <v>37</v>
      </c>
      <c r="B4" s="4"/>
    </row>
    <row r="5" spans="1:2" x14ac:dyDescent="0.3">
      <c r="A5" s="9" t="s">
        <v>33</v>
      </c>
      <c r="B5" s="3"/>
    </row>
    <row r="6" spans="1:2" ht="15.6" x14ac:dyDescent="0.3">
      <c r="A6" s="9" t="s">
        <v>34</v>
      </c>
      <c r="B6" s="4"/>
    </row>
    <row r="7" spans="1:2" ht="15.6" x14ac:dyDescent="0.3">
      <c r="A7" s="2" t="s">
        <v>41</v>
      </c>
      <c r="B7" s="5"/>
    </row>
    <row r="8" spans="1:2" x14ac:dyDescent="0.3">
      <c r="A8" s="8" t="s">
        <v>35</v>
      </c>
      <c r="B8" s="3"/>
    </row>
    <row r="9" spans="1:2" x14ac:dyDescent="0.3">
      <c r="A9" t="s">
        <v>48</v>
      </c>
      <c r="B9" s="3"/>
    </row>
    <row r="10" spans="1:2" ht="15.6" x14ac:dyDescent="0.3">
      <c r="A10" t="s">
        <v>49</v>
      </c>
      <c r="B10" s="4"/>
    </row>
    <row r="11" spans="1:2" ht="15" x14ac:dyDescent="0.3">
      <c r="A11" t="s">
        <v>50</v>
      </c>
      <c r="B11" s="6"/>
    </row>
    <row r="12" spans="1:2" x14ac:dyDescent="0.3">
      <c r="A12" t="s">
        <v>51</v>
      </c>
      <c r="B12" s="3"/>
    </row>
    <row r="13" spans="1:2" ht="15.6" x14ac:dyDescent="0.3">
      <c r="A13" t="s">
        <v>57</v>
      </c>
      <c r="B13" s="5"/>
    </row>
    <row r="14" spans="1:2" ht="15.6" x14ac:dyDescent="0.3">
      <c r="A14" t="s">
        <v>58</v>
      </c>
      <c r="B14" s="5"/>
    </row>
    <row r="15" spans="1:2" x14ac:dyDescent="0.3">
      <c r="A15" t="s">
        <v>59</v>
      </c>
      <c r="B15" s="3"/>
    </row>
    <row r="16" spans="1:2" ht="15.6" x14ac:dyDescent="0.3">
      <c r="A16" s="40"/>
    </row>
    <row r="17" spans="1:1" ht="15.6" x14ac:dyDescent="0.3">
      <c r="A17" s="40"/>
    </row>
    <row r="18" spans="1:1" ht="15.6" x14ac:dyDescent="0.3">
      <c r="A18" s="40"/>
    </row>
    <row r="19" spans="1:1" ht="15.6" x14ac:dyDescent="0.3">
      <c r="A19" s="41"/>
    </row>
    <row r="20" spans="1:1" x14ac:dyDescent="0.3">
      <c r="A20" s="11"/>
    </row>
    <row r="21" spans="1:1" x14ac:dyDescent="0.3">
      <c r="A21" s="3"/>
    </row>
    <row r="22" spans="1:1" x14ac:dyDescent="0.3">
      <c r="A22"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EBA9B-60A1-490D-A063-758B4087F9FB}">
  <dimension ref="A1:D24"/>
  <sheetViews>
    <sheetView workbookViewId="0">
      <selection activeCell="J21" sqref="J21"/>
    </sheetView>
  </sheetViews>
  <sheetFormatPr defaultRowHeight="14.4" x14ac:dyDescent="0.3"/>
  <sheetData>
    <row r="1" spans="1:1" ht="17.399999999999999" x14ac:dyDescent="0.3">
      <c r="A1" s="33" t="s">
        <v>25</v>
      </c>
    </row>
    <row r="2" spans="1:1" ht="17.850000000000001" customHeight="1" x14ac:dyDescent="0.3">
      <c r="A2" s="29"/>
    </row>
    <row r="3" spans="1:1" ht="15.6" x14ac:dyDescent="0.3">
      <c r="A3" s="31" t="s">
        <v>26</v>
      </c>
    </row>
    <row r="4" spans="1:1" ht="15.6" x14ac:dyDescent="0.3">
      <c r="A4" s="31"/>
    </row>
    <row r="5" spans="1:1" ht="15.6" x14ac:dyDescent="0.3">
      <c r="A5" s="31" t="s">
        <v>27</v>
      </c>
    </row>
    <row r="6" spans="1:1" ht="15.6" x14ac:dyDescent="0.3">
      <c r="A6" s="31"/>
    </row>
    <row r="7" spans="1:1" ht="15.6" x14ac:dyDescent="0.3">
      <c r="A7" s="31" t="s">
        <v>28</v>
      </c>
    </row>
    <row r="8" spans="1:1" x14ac:dyDescent="0.3">
      <c r="A8" s="28"/>
    </row>
    <row r="10" spans="1:1" x14ac:dyDescent="0.3">
      <c r="A10" s="28"/>
    </row>
    <row r="11" spans="1:1" ht="15.6" x14ac:dyDescent="0.3">
      <c r="A11" s="30"/>
    </row>
    <row r="12" spans="1:1" x14ac:dyDescent="0.3">
      <c r="A12" s="28" t="s">
        <v>29</v>
      </c>
    </row>
    <row r="13" spans="1:1" ht="15.6" x14ac:dyDescent="0.3">
      <c r="A13" s="30"/>
    </row>
    <row r="14" spans="1:1" x14ac:dyDescent="0.3">
      <c r="A14" s="32" t="s">
        <v>30</v>
      </c>
    </row>
    <row r="17" spans="1:4" x14ac:dyDescent="0.3">
      <c r="A17" t="s">
        <v>31</v>
      </c>
    </row>
    <row r="19" spans="1:4" ht="18" x14ac:dyDescent="0.35">
      <c r="A19" s="47" t="s">
        <v>46</v>
      </c>
      <c r="B19" s="47"/>
      <c r="C19" s="47"/>
      <c r="D19" s="47" t="s">
        <v>45</v>
      </c>
    </row>
    <row r="20" spans="1:4" ht="18" x14ac:dyDescent="0.35">
      <c r="A20" s="47"/>
      <c r="B20" s="47"/>
      <c r="C20" s="47"/>
      <c r="D20" s="47"/>
    </row>
    <row r="21" spans="1:4" ht="18" x14ac:dyDescent="0.35">
      <c r="B21" s="47">
        <v>3250</v>
      </c>
      <c r="C21" s="48" t="s">
        <v>44</v>
      </c>
      <c r="D21" s="47">
        <v>2.4</v>
      </c>
    </row>
    <row r="22" spans="1:4" ht="18" x14ac:dyDescent="0.35">
      <c r="B22" s="47">
        <v>4000</v>
      </c>
      <c r="C22" s="48" t="s">
        <v>44</v>
      </c>
      <c r="D22" s="47">
        <v>2.8</v>
      </c>
    </row>
    <row r="23" spans="1:4" ht="18" x14ac:dyDescent="0.35">
      <c r="B23" s="47">
        <v>4500</v>
      </c>
      <c r="C23" s="48" t="s">
        <v>44</v>
      </c>
      <c r="D23" s="47">
        <v>3.2</v>
      </c>
    </row>
    <row r="24" spans="1:4" ht="18" x14ac:dyDescent="0.35">
      <c r="B24" s="47">
        <v>5000</v>
      </c>
      <c r="C24" s="48" t="s">
        <v>43</v>
      </c>
      <c r="D24" s="47">
        <v>3.2</v>
      </c>
    </row>
  </sheetData>
  <pageMargins left="0.7" right="0.7" top="0.75" bottom="0.75" header="0.3" footer="0.3"/>
</worksheet>
</file>

<file path=docMetadata/LabelInfo.xml><?xml version="1.0" encoding="utf-8"?>
<clbl:labelList xmlns:clbl="http://schemas.microsoft.com/office/2020/mipLabelMetadata">
  <clbl:label id="{6dd02d64-b7f3-43f7-a145-cfd68d338edf}" enabled="1" method="Standard" siteId="{0693b5ba-4b18-4d7b-9341-f32f400a54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Charts</vt:lpstr>
      </vt:variant>
      <vt:variant>
        <vt:i4>1</vt:i4>
      </vt:variant>
    </vt:vector>
  </HeadingPairs>
  <TitlesOfParts>
    <vt:vector size="5" baseType="lpstr">
      <vt:lpstr>Keswick Flow Alternatives</vt:lpstr>
      <vt:lpstr>Desired Scenarios</vt:lpstr>
      <vt:lpstr>Scenario Description</vt:lpstr>
      <vt:lpstr>Ramping Rates and Base Flow</vt:lpstr>
      <vt:lpstr>Keswick Flow Chart thru Dec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Buttermore, Elissa N</dc:creator>
  <cp:keywords/>
  <dc:description/>
  <cp:lastModifiedBy>Elliott, Lisa H</cp:lastModifiedBy>
  <cp:revision/>
  <dcterms:created xsi:type="dcterms:W3CDTF">2022-09-06T22:36:24Z</dcterms:created>
  <dcterms:modified xsi:type="dcterms:W3CDTF">2026-09-10T20:21:08Z</dcterms:modified>
  <cp:category/>
  <cp:contentStatus/>
</cp:coreProperties>
</file>